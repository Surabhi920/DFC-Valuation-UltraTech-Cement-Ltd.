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28627F4-997A-4E37-83C0-F9C469C428FC}" xr6:coauthVersionLast="47" xr6:coauthVersionMax="47" xr10:uidLastSave="{00000000-0000-0000-0000-000000000000}"/>
  <bookViews>
    <workbookView xWindow="-120" yWindow="-120" windowWidth="20730" windowHeight="11040" firstSheet="4" activeTab="11" xr2:uid="{00000000-000D-0000-FFFF-FFFF00000000}"/>
  </bookViews>
  <sheets>
    <sheet name="Profit &amp; Loss" sheetId="1" state="hidden" r:id="rId1"/>
    <sheet name="Quarters" sheetId="3" state="hidden" r:id="rId2"/>
    <sheet name="Balance Sheet" sheetId="2" state="hidden" r:id="rId3"/>
    <sheet name="Cash Flow" sheetId="4" state="hidden" r:id="rId4"/>
    <sheet name="Data Sheet" sheetId="6" r:id="rId5"/>
    <sheet name="Sheet1" sheetId="7" r:id="rId6"/>
    <sheet name="Historical Data" sheetId="8" r:id="rId7"/>
    <sheet name="Forecasting" sheetId="9" r:id="rId8"/>
    <sheet name="PIS" sheetId="10" r:id="rId9"/>
    <sheet name="PBS" sheetId="11" r:id="rId10"/>
    <sheet name="PCFS" sheetId="12" r:id="rId11"/>
    <sheet name="Value of Firm" sheetId="13" r:id="rId12"/>
    <sheet name="Customization" sheetId="5" state="hidden" r:id="rId13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11" i="13" l="1"/>
  <c r="J11" i="13"/>
  <c r="E7" i="13"/>
  <c r="F7" i="13"/>
  <c r="G7" i="13"/>
  <c r="H7" i="13"/>
  <c r="D7" i="13"/>
  <c r="B50" i="13"/>
  <c r="B51" i="13" s="1"/>
  <c r="B52" i="13" s="1"/>
  <c r="D36" i="13" s="1"/>
  <c r="D35" i="13"/>
  <c r="B46" i="13"/>
  <c r="B45" i="13"/>
  <c r="D35" i="8"/>
  <c r="B52" i="8"/>
  <c r="D36" i="8"/>
  <c r="E35" i="8"/>
  <c r="E36" i="8"/>
  <c r="E38" i="8"/>
  <c r="D11" i="8"/>
  <c r="E11" i="8"/>
  <c r="F11" i="8"/>
  <c r="B37" i="13"/>
  <c r="C36" i="13" s="1"/>
  <c r="E36" i="13" l="1"/>
  <c r="C35" i="13"/>
  <c r="E35" i="13" s="1"/>
  <c r="E37" i="13" s="1"/>
  <c r="E38" i="13" s="1"/>
  <c r="E27" i="13" l="1"/>
  <c r="F27" i="13"/>
  <c r="G27" i="13"/>
  <c r="H27" i="13"/>
  <c r="D27" i="13"/>
  <c r="C27" i="13"/>
  <c r="B27" i="13"/>
  <c r="C23" i="13"/>
  <c r="B23" i="13"/>
  <c r="D50" i="12" l="1"/>
  <c r="B12" i="11" s="1"/>
  <c r="E50" i="12"/>
  <c r="F50" i="12" s="1"/>
  <c r="C50" i="12"/>
  <c r="B50" i="12"/>
  <c r="G50" i="12" l="1"/>
  <c r="D12" i="11"/>
  <c r="C12" i="11"/>
  <c r="B8" i="13"/>
  <c r="B9" i="13"/>
  <c r="H50" i="12" l="1"/>
  <c r="F12" i="11" s="1"/>
  <c r="E12" i="11"/>
  <c r="G51" i="9"/>
  <c r="G52" i="9"/>
  <c r="G53" i="9"/>
  <c r="G54" i="9"/>
  <c r="G50" i="9"/>
  <c r="C52" i="8"/>
  <c r="D52" i="8"/>
  <c r="E52" i="8"/>
  <c r="F52" i="8"/>
  <c r="C21" i="12" s="1"/>
  <c r="C9" i="10"/>
  <c r="D9" i="10"/>
  <c r="E9" i="10"/>
  <c r="F9" i="10"/>
  <c r="B9" i="10"/>
  <c r="C12" i="10"/>
  <c r="D12" i="10"/>
  <c r="E12" i="10"/>
  <c r="F12" i="10"/>
  <c r="B12" i="10"/>
  <c r="E43" i="9"/>
  <c r="H51" i="12" l="1"/>
  <c r="E51" i="12"/>
  <c r="F51" i="12"/>
  <c r="C11" i="10"/>
  <c r="D11" i="10"/>
  <c r="E11" i="10"/>
  <c r="F11" i="10"/>
  <c r="B11" i="10"/>
  <c r="E22" i="12" l="1"/>
  <c r="E16" i="13"/>
  <c r="H22" i="12"/>
  <c r="H16" i="13"/>
  <c r="G22" i="12"/>
  <c r="G16" i="13"/>
  <c r="F22" i="12"/>
  <c r="F16" i="13"/>
  <c r="D22" i="12"/>
  <c r="D16" i="13"/>
  <c r="F20" i="12"/>
  <c r="F17" i="13"/>
  <c r="E20" i="12"/>
  <c r="E17" i="13"/>
  <c r="H20" i="12"/>
  <c r="H17" i="13"/>
  <c r="G51" i="12"/>
  <c r="G8" i="12"/>
  <c r="F8" i="12"/>
  <c r="D8" i="12"/>
  <c r="E8" i="12"/>
  <c r="H8" i="12"/>
  <c r="F5" i="8"/>
  <c r="D59" i="9"/>
  <c r="D60" i="9"/>
  <c r="D61" i="9"/>
  <c r="D62" i="9"/>
  <c r="D58" i="9"/>
  <c r="D51" i="9"/>
  <c r="D52" i="9"/>
  <c r="D53" i="9"/>
  <c r="D54" i="9"/>
  <c r="D50" i="9"/>
  <c r="C35" i="9"/>
  <c r="C36" i="9"/>
  <c r="C37" i="9"/>
  <c r="C38" i="9"/>
  <c r="C34" i="9"/>
  <c r="C22" i="9"/>
  <c r="C23" i="9"/>
  <c r="C24" i="9"/>
  <c r="C25" i="9"/>
  <c r="C21" i="9"/>
  <c r="D21" i="9" s="1"/>
  <c r="C48" i="8"/>
  <c r="D48" i="8"/>
  <c r="E48" i="8"/>
  <c r="F48" i="8"/>
  <c r="C26" i="12" s="1"/>
  <c r="B48" i="8"/>
  <c r="C46" i="8"/>
  <c r="D46" i="8"/>
  <c r="E46" i="8"/>
  <c r="B36" i="12" s="1"/>
  <c r="F46" i="8"/>
  <c r="C36" i="12" s="1"/>
  <c r="B46" i="8"/>
  <c r="C44" i="8"/>
  <c r="D44" i="8"/>
  <c r="D49" i="8" s="1"/>
  <c r="E44" i="8"/>
  <c r="F44" i="8"/>
  <c r="B44" i="8"/>
  <c r="C41" i="8"/>
  <c r="D41" i="8"/>
  <c r="E41" i="8"/>
  <c r="F41" i="8"/>
  <c r="B41" i="8"/>
  <c r="C40" i="8"/>
  <c r="D40" i="8"/>
  <c r="E40" i="8"/>
  <c r="F40" i="8"/>
  <c r="B40" i="8"/>
  <c r="C39" i="8"/>
  <c r="D39" i="8"/>
  <c r="E39" i="8"/>
  <c r="F39" i="8"/>
  <c r="B39" i="8"/>
  <c r="C38" i="8"/>
  <c r="D38" i="8"/>
  <c r="F38" i="8"/>
  <c r="B38" i="8"/>
  <c r="C35" i="8"/>
  <c r="F35" i="8"/>
  <c r="B35" i="8"/>
  <c r="C34" i="8"/>
  <c r="D34" i="8"/>
  <c r="E34" i="8"/>
  <c r="F34" i="8"/>
  <c r="B34" i="8"/>
  <c r="C33" i="8"/>
  <c r="D33" i="8"/>
  <c r="E33" i="8"/>
  <c r="F33" i="8"/>
  <c r="B33" i="8"/>
  <c r="C32" i="8"/>
  <c r="D32" i="8"/>
  <c r="E32" i="8"/>
  <c r="F32" i="8"/>
  <c r="B6" i="11" s="1"/>
  <c r="B32" i="8"/>
  <c r="C29" i="8"/>
  <c r="D29" i="8"/>
  <c r="E29" i="8"/>
  <c r="F29" i="8"/>
  <c r="B29" i="8"/>
  <c r="C25" i="8"/>
  <c r="D25" i="8"/>
  <c r="E25" i="8"/>
  <c r="F25" i="8"/>
  <c r="C12" i="12" s="1"/>
  <c r="B25" i="8"/>
  <c r="C21" i="8"/>
  <c r="D21" i="8"/>
  <c r="E21" i="8"/>
  <c r="B8" i="12" s="1"/>
  <c r="F21" i="8"/>
  <c r="B21" i="8"/>
  <c r="C17" i="8"/>
  <c r="D17" i="8"/>
  <c r="E17" i="8"/>
  <c r="F17" i="8"/>
  <c r="B17" i="8"/>
  <c r="C7" i="8"/>
  <c r="D7" i="8"/>
  <c r="E7" i="8"/>
  <c r="F7" i="8"/>
  <c r="B7" i="8"/>
  <c r="C13" i="8"/>
  <c r="D13" i="8"/>
  <c r="E13" i="8"/>
  <c r="F13" i="8"/>
  <c r="F14" i="8" s="1"/>
  <c r="B13" i="8"/>
  <c r="C9" i="8"/>
  <c r="D9" i="8"/>
  <c r="E9" i="8"/>
  <c r="F9" i="8"/>
  <c r="B9" i="8"/>
  <c r="C5" i="8"/>
  <c r="C11" i="8" s="1"/>
  <c r="C12" i="8" s="1"/>
  <c r="D5" i="8"/>
  <c r="E5" i="8"/>
  <c r="B5" i="8"/>
  <c r="B11" i="8" s="1"/>
  <c r="B12" i="8" s="1"/>
  <c r="C3" i="8"/>
  <c r="D3" i="8"/>
  <c r="E3" i="8"/>
  <c r="F3" i="8"/>
  <c r="B3" i="8"/>
  <c r="C6" i="3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4" i="2"/>
  <c r="E4" i="2"/>
  <c r="E5" i="2"/>
  <c r="E23" i="2"/>
  <c r="F4" i="2"/>
  <c r="G4" i="2"/>
  <c r="H4" i="2"/>
  <c r="I4" i="2"/>
  <c r="I5" i="2"/>
  <c r="J4" i="2"/>
  <c r="J5" i="2"/>
  <c r="J23" i="2" s="1"/>
  <c r="K4" i="2"/>
  <c r="C5" i="2"/>
  <c r="D5" i="2"/>
  <c r="F5" i="2"/>
  <c r="F23" i="2" s="1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D16" i="2" s="1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K13" i="2"/>
  <c r="K16" i="2" s="1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F14" i="3" s="1"/>
  <c r="G4" i="3"/>
  <c r="H4" i="3"/>
  <c r="I4" i="3"/>
  <c r="J4" i="3"/>
  <c r="J14" i="3" s="1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L11" i="1" s="1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E20" i="2" s="1"/>
  <c r="F4" i="1"/>
  <c r="F20" i="2" s="1"/>
  <c r="G4" i="1"/>
  <c r="G6" i="1" s="1"/>
  <c r="G19" i="1" s="1"/>
  <c r="H4" i="1"/>
  <c r="I4" i="1"/>
  <c r="J4" i="1"/>
  <c r="K4" i="1"/>
  <c r="H23" i="1" s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C14" i="1" s="1"/>
  <c r="D12" i="1"/>
  <c r="E12" i="1"/>
  <c r="F12" i="1"/>
  <c r="F13" i="1" s="1"/>
  <c r="F14" i="1" s="1"/>
  <c r="G12" i="1"/>
  <c r="G23" i="2" s="1"/>
  <c r="H12" i="1"/>
  <c r="I12" i="1"/>
  <c r="I23" i="2" s="1"/>
  <c r="J12" i="1"/>
  <c r="J13" i="1" s="1"/>
  <c r="J14" i="1" s="1"/>
  <c r="K12" i="1"/>
  <c r="K13" i="1" s="1"/>
  <c r="K14" i="1" s="1"/>
  <c r="C15" i="1"/>
  <c r="D15" i="1"/>
  <c r="E15" i="1"/>
  <c r="F15" i="1"/>
  <c r="G15" i="1"/>
  <c r="H15" i="1"/>
  <c r="I15" i="1"/>
  <c r="J15" i="1"/>
  <c r="K15" i="1"/>
  <c r="B15" i="1"/>
  <c r="H13" i="1"/>
  <c r="B7" i="1"/>
  <c r="B4" i="1"/>
  <c r="B20" i="2" s="1"/>
  <c r="A1" i="1"/>
  <c r="A1" i="3" s="1"/>
  <c r="E1" i="6"/>
  <c r="H1" i="1" s="1"/>
  <c r="E1" i="2"/>
  <c r="E1" i="3"/>
  <c r="H16" i="2"/>
  <c r="K23" i="2"/>
  <c r="C23" i="2"/>
  <c r="C16" i="2"/>
  <c r="F16" i="2"/>
  <c r="E6" i="1"/>
  <c r="E19" i="1" s="1"/>
  <c r="H23" i="2"/>
  <c r="D23" i="2"/>
  <c r="I6" i="1"/>
  <c r="I19" i="1" s="1"/>
  <c r="J6" i="1"/>
  <c r="J19" i="1"/>
  <c r="C6" i="1"/>
  <c r="C19" i="1" s="1"/>
  <c r="D6" i="1"/>
  <c r="D19" i="1" s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2" i="2"/>
  <c r="B11" i="2"/>
  <c r="B10" i="2"/>
  <c r="B8" i="2"/>
  <c r="B7" i="2"/>
  <c r="B6" i="2"/>
  <c r="B3" i="2"/>
  <c r="H14" i="3"/>
  <c r="B12" i="3"/>
  <c r="B11" i="3"/>
  <c r="B10" i="3"/>
  <c r="B9" i="3"/>
  <c r="B8" i="3"/>
  <c r="B7" i="3"/>
  <c r="B4" i="3"/>
  <c r="B14" i="3" s="1"/>
  <c r="B3" i="3"/>
  <c r="L15" i="1"/>
  <c r="B12" i="1"/>
  <c r="B13" i="1" s="1"/>
  <c r="B11" i="1"/>
  <c r="B10" i="1"/>
  <c r="B9" i="1"/>
  <c r="B8" i="1"/>
  <c r="B3" i="1"/>
  <c r="E14" i="3"/>
  <c r="I14" i="3"/>
  <c r="G14" i="3"/>
  <c r="K20" i="2"/>
  <c r="D20" i="2"/>
  <c r="J20" i="2"/>
  <c r="C20" i="2"/>
  <c r="L12" i="1"/>
  <c r="L13" i="1" s="1"/>
  <c r="L14" i="1" s="1"/>
  <c r="L25" i="1" s="1"/>
  <c r="L10" i="1"/>
  <c r="L6" i="1"/>
  <c r="L4" i="1"/>
  <c r="L23" i="1" s="1"/>
  <c r="A1" i="2"/>
  <c r="A1" i="4" s="1"/>
  <c r="I23" i="1"/>
  <c r="L5" i="1"/>
  <c r="G20" i="12" l="1"/>
  <c r="G17" i="13"/>
  <c r="B43" i="12"/>
  <c r="C43" i="12" s="1"/>
  <c r="D43" i="12" s="1"/>
  <c r="E43" i="12" s="1"/>
  <c r="F43" i="12" s="1"/>
  <c r="G43" i="12" s="1"/>
  <c r="H43" i="12" s="1"/>
  <c r="B22" i="11"/>
  <c r="F8" i="8"/>
  <c r="B18" i="8"/>
  <c r="C42" i="8"/>
  <c r="E22" i="8"/>
  <c r="B22" i="8"/>
  <c r="B49" i="8"/>
  <c r="C49" i="8"/>
  <c r="D8" i="8"/>
  <c r="B7" i="13"/>
  <c r="B44" i="12"/>
  <c r="B7" i="12"/>
  <c r="E18" i="8"/>
  <c r="D22" i="8"/>
  <c r="C51" i="12"/>
  <c r="D51" i="12"/>
  <c r="D42" i="8"/>
  <c r="D50" i="8" s="1"/>
  <c r="F45" i="8"/>
  <c r="C35" i="12"/>
  <c r="C37" i="12" s="1"/>
  <c r="D10" i="8"/>
  <c r="E14" i="8"/>
  <c r="B8" i="8"/>
  <c r="D18" i="8"/>
  <c r="B36" i="8"/>
  <c r="C36" i="8"/>
  <c r="B42" i="8"/>
  <c r="E42" i="8"/>
  <c r="E49" i="8"/>
  <c r="B35" i="12"/>
  <c r="B37" i="12" s="1"/>
  <c r="F18" i="8"/>
  <c r="C7" i="13"/>
  <c r="C7" i="12"/>
  <c r="C44" i="12"/>
  <c r="F22" i="8"/>
  <c r="C22" i="12"/>
  <c r="C8" i="12"/>
  <c r="F42" i="8"/>
  <c r="B33" i="12"/>
  <c r="B34" i="12" s="1"/>
  <c r="C33" i="12"/>
  <c r="C34" i="12" s="1"/>
  <c r="B47" i="8"/>
  <c r="C47" i="8"/>
  <c r="C8" i="8"/>
  <c r="C15" i="8"/>
  <c r="E8" i="8"/>
  <c r="C18" i="8"/>
  <c r="E45" i="8"/>
  <c r="F47" i="8"/>
  <c r="D45" i="8"/>
  <c r="E47" i="8"/>
  <c r="C22" i="8"/>
  <c r="F36" i="8"/>
  <c r="C10" i="8"/>
  <c r="B15" i="8"/>
  <c r="B45" i="8"/>
  <c r="C45" i="8"/>
  <c r="D47" i="8"/>
  <c r="F49" i="8"/>
  <c r="E59" i="9"/>
  <c r="E51" i="9"/>
  <c r="D36" i="9"/>
  <c r="D38" i="9"/>
  <c r="D34" i="9"/>
  <c r="D35" i="9"/>
  <c r="D23" i="9"/>
  <c r="D37" i="9"/>
  <c r="D24" i="9"/>
  <c r="D25" i="9"/>
  <c r="D22" i="9"/>
  <c r="B10" i="8"/>
  <c r="D14" i="8"/>
  <c r="B14" i="8"/>
  <c r="C14" i="8"/>
  <c r="F10" i="8"/>
  <c r="E10" i="8"/>
  <c r="C6" i="8"/>
  <c r="F6" i="8"/>
  <c r="E6" i="8"/>
  <c r="D6" i="8"/>
  <c r="C24" i="2"/>
  <c r="J23" i="1"/>
  <c r="N23" i="1" s="1"/>
  <c r="N4" i="1" s="1"/>
  <c r="L19" i="1"/>
  <c r="L24" i="1" s="1"/>
  <c r="G20" i="2"/>
  <c r="B16" i="2"/>
  <c r="K6" i="1"/>
  <c r="K19" i="1" s="1"/>
  <c r="K24" i="1" s="1"/>
  <c r="M24" i="1" s="1"/>
  <c r="B23" i="2"/>
  <c r="I13" i="1"/>
  <c r="I14" i="1" s="1"/>
  <c r="H14" i="1"/>
  <c r="J16" i="2"/>
  <c r="G16" i="2"/>
  <c r="G24" i="2"/>
  <c r="E24" i="2"/>
  <c r="G13" i="1"/>
  <c r="G14" i="1" s="1"/>
  <c r="D13" i="1"/>
  <c r="E13" i="1" s="1"/>
  <c r="D24" i="2"/>
  <c r="N11" i="1"/>
  <c r="E14" i="1"/>
  <c r="L9" i="1"/>
  <c r="L8" i="1"/>
  <c r="L7" i="1"/>
  <c r="J24" i="2"/>
  <c r="M11" i="1"/>
  <c r="B14" i="1"/>
  <c r="D14" i="1"/>
  <c r="I16" i="2"/>
  <c r="K24" i="2"/>
  <c r="I24" i="2"/>
  <c r="H24" i="2"/>
  <c r="F24" i="2"/>
  <c r="M9" i="1"/>
  <c r="N9" i="1"/>
  <c r="N8" i="1"/>
  <c r="M8" i="1"/>
  <c r="I20" i="2"/>
  <c r="H20" i="2"/>
  <c r="K23" i="1"/>
  <c r="M23" i="1" s="1"/>
  <c r="M4" i="1" s="1"/>
  <c r="H6" i="1"/>
  <c r="H19" i="1" s="1"/>
  <c r="J24" i="1" s="1"/>
  <c r="F6" i="1"/>
  <c r="F19" i="1" s="1"/>
  <c r="H24" i="1" s="1"/>
  <c r="E1" i="4"/>
  <c r="B45" i="12" l="1"/>
  <c r="C22" i="11"/>
  <c r="C50" i="8"/>
  <c r="B50" i="8"/>
  <c r="B38" i="12"/>
  <c r="C45" i="12"/>
  <c r="C46" i="12" s="1"/>
  <c r="E50" i="8"/>
  <c r="D20" i="12"/>
  <c r="D17" i="13"/>
  <c r="F50" i="8"/>
  <c r="C38" i="12"/>
  <c r="C39" i="12" s="1"/>
  <c r="C17" i="13"/>
  <c r="C20" i="12"/>
  <c r="C23" i="12" s="1"/>
  <c r="D12" i="8"/>
  <c r="D15" i="8"/>
  <c r="D19" i="8" s="1"/>
  <c r="B19" i="8"/>
  <c r="B16" i="8"/>
  <c r="E12" i="8"/>
  <c r="E15" i="8"/>
  <c r="E19" i="8" s="1"/>
  <c r="C16" i="8"/>
  <c r="C19" i="8"/>
  <c r="B4" i="9" a="1"/>
  <c r="B4" i="9" s="1"/>
  <c r="B3" i="10" s="1"/>
  <c r="F12" i="8"/>
  <c r="F15" i="8"/>
  <c r="F19" i="8" s="1"/>
  <c r="B5" i="9" a="1"/>
  <c r="B5" i="9" s="1"/>
  <c r="K25" i="1"/>
  <c r="M25" i="1" s="1"/>
  <c r="M14" i="1" s="1"/>
  <c r="I25" i="1"/>
  <c r="H25" i="1"/>
  <c r="J25" i="1"/>
  <c r="N24" i="1"/>
  <c r="I24" i="1"/>
  <c r="N6" i="1"/>
  <c r="N10" i="1" s="1"/>
  <c r="N12" i="1" s="1"/>
  <c r="N13" i="1" s="1"/>
  <c r="N5" i="1"/>
  <c r="M6" i="1"/>
  <c r="M10" i="1" s="1"/>
  <c r="M12" i="1" s="1"/>
  <c r="M13" i="1" s="1"/>
  <c r="D22" i="11" l="1"/>
  <c r="C16" i="12"/>
  <c r="C17" i="12" s="1"/>
  <c r="C9" i="13"/>
  <c r="C10" i="12"/>
  <c r="C8" i="13"/>
  <c r="B4" i="10"/>
  <c r="B27" i="11" s="1"/>
  <c r="D36" i="12" s="1"/>
  <c r="C20" i="8"/>
  <c r="C23" i="8"/>
  <c r="B20" i="8"/>
  <c r="B23" i="8"/>
  <c r="E16" i="8"/>
  <c r="B4" i="13"/>
  <c r="B5" i="13" s="1"/>
  <c r="B6" i="13" s="1"/>
  <c r="B10" i="13" s="1"/>
  <c r="D16" i="8"/>
  <c r="C3" i="10"/>
  <c r="C4" i="10" s="1"/>
  <c r="B15" i="11"/>
  <c r="D33" i="12" s="1"/>
  <c r="D34" i="12" s="1"/>
  <c r="B25" i="11"/>
  <c r="D35" i="12" s="1"/>
  <c r="B6" i="10"/>
  <c r="C4" i="13"/>
  <c r="C5" i="13" s="1"/>
  <c r="C6" i="13" s="1"/>
  <c r="F16" i="8"/>
  <c r="N25" i="1"/>
  <c r="N14" i="1" s="1"/>
  <c r="N15" i="1" s="1"/>
  <c r="M15" i="1"/>
  <c r="M5" i="1"/>
  <c r="C10" i="13" l="1"/>
  <c r="C15" i="13" s="1"/>
  <c r="C25" i="11"/>
  <c r="E35" i="12" s="1"/>
  <c r="B5" i="10"/>
  <c r="E22" i="11"/>
  <c r="D37" i="12"/>
  <c r="D38" i="12" s="1"/>
  <c r="D39" i="12" s="1"/>
  <c r="C8" i="10"/>
  <c r="B8" i="10"/>
  <c r="B24" i="8"/>
  <c r="B27" i="8"/>
  <c r="B26" i="8"/>
  <c r="D20" i="8"/>
  <c r="D23" i="8"/>
  <c r="E20" i="8"/>
  <c r="E23" i="8"/>
  <c r="B5" i="12" s="1"/>
  <c r="B9" i="12" s="1"/>
  <c r="C27" i="8"/>
  <c r="C24" i="8"/>
  <c r="C26" i="8"/>
  <c r="B7" i="10"/>
  <c r="D3" i="10"/>
  <c r="C15" i="11"/>
  <c r="E33" i="12" s="1"/>
  <c r="E34" i="12" s="1"/>
  <c r="C6" i="10"/>
  <c r="C27" i="11"/>
  <c r="E36" i="12" s="1"/>
  <c r="C5" i="10"/>
  <c r="F23" i="8"/>
  <c r="C5" i="12" s="1"/>
  <c r="C9" i="12" s="1"/>
  <c r="C11" i="12" s="1"/>
  <c r="C13" i="12" s="1"/>
  <c r="C25" i="12" s="1"/>
  <c r="C27" i="12" s="1"/>
  <c r="D26" i="12" s="1"/>
  <c r="F20" i="8"/>
  <c r="E37" i="12" l="1"/>
  <c r="F22" i="11"/>
  <c r="D10" i="12"/>
  <c r="D8" i="13"/>
  <c r="E38" i="12"/>
  <c r="E39" i="12" s="1"/>
  <c r="D44" i="12"/>
  <c r="D45" i="12" s="1"/>
  <c r="D46" i="12" s="1"/>
  <c r="D7" i="12"/>
  <c r="B10" i="10"/>
  <c r="E44" i="12"/>
  <c r="E45" i="12" s="1"/>
  <c r="E7" i="12"/>
  <c r="E27" i="8"/>
  <c r="B24" i="13" s="1"/>
  <c r="E24" i="8"/>
  <c r="E26" i="8"/>
  <c r="D26" i="8"/>
  <c r="D24" i="8"/>
  <c r="D27" i="8"/>
  <c r="C7" i="10"/>
  <c r="C10" i="10" s="1"/>
  <c r="D15" i="11"/>
  <c r="F33" i="12" s="1"/>
  <c r="F34" i="12" s="1"/>
  <c r="D4" i="10"/>
  <c r="E3" i="10"/>
  <c r="D6" i="10"/>
  <c r="D25" i="11"/>
  <c r="F35" i="12" s="1"/>
  <c r="F27" i="8"/>
  <c r="F24" i="8"/>
  <c r="F26" i="8"/>
  <c r="C16" i="13" s="1"/>
  <c r="C18" i="13" s="1"/>
  <c r="F53" i="8" l="1"/>
  <c r="C24" i="13"/>
  <c r="B25" i="13"/>
  <c r="B26" i="13" s="1"/>
  <c r="B28" i="13"/>
  <c r="D16" i="12"/>
  <c r="D17" i="12" s="1"/>
  <c r="D9" i="13"/>
  <c r="E10" i="12"/>
  <c r="E8" i="13"/>
  <c r="C13" i="10"/>
  <c r="E4" i="13"/>
  <c r="E5" i="13" s="1"/>
  <c r="E6" i="13" s="1"/>
  <c r="B13" i="10"/>
  <c r="D5" i="12" s="1"/>
  <c r="D9" i="12" s="1"/>
  <c r="D11" i="12" s="1"/>
  <c r="D4" i="13"/>
  <c r="D5" i="13" s="1"/>
  <c r="D6" i="13" s="1"/>
  <c r="E46" i="12"/>
  <c r="C14" i="10"/>
  <c r="E12" i="12" s="1"/>
  <c r="E5" i="12"/>
  <c r="E9" i="12" s="1"/>
  <c r="D8" i="10"/>
  <c r="D27" i="11"/>
  <c r="F36" i="12" s="1"/>
  <c r="F37" i="12" s="1"/>
  <c r="F38" i="12" s="1"/>
  <c r="F39" i="12" s="1"/>
  <c r="D5" i="10"/>
  <c r="D7" i="10" s="1"/>
  <c r="E15" i="11"/>
  <c r="G33" i="12" s="1"/>
  <c r="G34" i="12" s="1"/>
  <c r="F3" i="10"/>
  <c r="E4" i="10"/>
  <c r="E25" i="11"/>
  <c r="G35" i="12" s="1"/>
  <c r="E6" i="10"/>
  <c r="B29" i="13" l="1"/>
  <c r="C25" i="13"/>
  <c r="C26" i="13" s="1"/>
  <c r="C28" i="13"/>
  <c r="D10" i="13"/>
  <c r="E16" i="12"/>
  <c r="E17" i="12" s="1"/>
  <c r="E9" i="13"/>
  <c r="E10" i="13" s="1"/>
  <c r="F10" i="12"/>
  <c r="F8" i="13"/>
  <c r="B14" i="10"/>
  <c r="D12" i="12" s="1"/>
  <c r="D13" i="12" s="1"/>
  <c r="E11" i="12"/>
  <c r="E13" i="12" s="1"/>
  <c r="C16" i="10"/>
  <c r="F44" i="12"/>
  <c r="F45" i="12" s="1"/>
  <c r="F46" i="12" s="1"/>
  <c r="F7" i="12"/>
  <c r="D10" i="10"/>
  <c r="E8" i="10"/>
  <c r="F15" i="11"/>
  <c r="H33" i="12" s="1"/>
  <c r="H34" i="12" s="1"/>
  <c r="F6" i="10"/>
  <c r="F4" i="10"/>
  <c r="F27" i="11" s="1"/>
  <c r="H36" i="12" s="1"/>
  <c r="F25" i="11"/>
  <c r="H35" i="12" s="1"/>
  <c r="E27" i="11"/>
  <c r="G36" i="12" s="1"/>
  <c r="G37" i="12" s="1"/>
  <c r="G38" i="12" s="1"/>
  <c r="G39" i="12" s="1"/>
  <c r="E5" i="10"/>
  <c r="E7" i="10" s="1"/>
  <c r="E15" i="13" l="1"/>
  <c r="E18" i="13" s="1"/>
  <c r="E19" i="13" s="1"/>
  <c r="E11" i="13"/>
  <c r="D15" i="13"/>
  <c r="D18" i="13" s="1"/>
  <c r="D19" i="13" s="1"/>
  <c r="D11" i="13"/>
  <c r="C29" i="13"/>
  <c r="E10" i="10"/>
  <c r="C18" i="10"/>
  <c r="E24" i="13"/>
  <c r="E28" i="13" s="1"/>
  <c r="B16" i="10"/>
  <c r="E13" i="10"/>
  <c r="G5" i="12" s="1"/>
  <c r="G4" i="13"/>
  <c r="G5" i="13" s="1"/>
  <c r="G6" i="13" s="1"/>
  <c r="G10" i="12"/>
  <c r="G8" i="13"/>
  <c r="D13" i="10"/>
  <c r="F5" i="12" s="1"/>
  <c r="F9" i="12" s="1"/>
  <c r="F11" i="12" s="1"/>
  <c r="F4" i="13"/>
  <c r="F5" i="13" s="1"/>
  <c r="F6" i="13" s="1"/>
  <c r="F16" i="12"/>
  <c r="F17" i="12" s="1"/>
  <c r="F9" i="13"/>
  <c r="H37" i="12"/>
  <c r="H38" i="12" s="1"/>
  <c r="H39" i="12" s="1"/>
  <c r="F8" i="10"/>
  <c r="G44" i="12"/>
  <c r="G45" i="12" s="1"/>
  <c r="G46" i="12" s="1"/>
  <c r="G7" i="12"/>
  <c r="F5" i="10"/>
  <c r="F7" i="10" s="1"/>
  <c r="E21" i="12" l="1"/>
  <c r="E23" i="12" s="1"/>
  <c r="E25" i="12" s="1"/>
  <c r="E23" i="13"/>
  <c r="E25" i="13" s="1"/>
  <c r="E26" i="13" s="1"/>
  <c r="E29" i="13" s="1"/>
  <c r="D24" i="13"/>
  <c r="D28" i="13" s="1"/>
  <c r="B7" i="11"/>
  <c r="C7" i="11" s="1"/>
  <c r="B18" i="10"/>
  <c r="D14" i="10"/>
  <c r="D16" i="10" s="1"/>
  <c r="F24" i="13" s="1"/>
  <c r="F28" i="13" s="1"/>
  <c r="E14" i="10"/>
  <c r="G12" i="12" s="1"/>
  <c r="G9" i="12"/>
  <c r="G11" i="12" s="1"/>
  <c r="F10" i="13"/>
  <c r="G16" i="12"/>
  <c r="G17" i="12" s="1"/>
  <c r="G9" i="13"/>
  <c r="G10" i="13" s="1"/>
  <c r="H10" i="12"/>
  <c r="H8" i="13"/>
  <c r="F10" i="10"/>
  <c r="H44" i="12"/>
  <c r="H45" i="12" s="1"/>
  <c r="H46" i="12" s="1"/>
  <c r="H7" i="12"/>
  <c r="F15" i="13" l="1"/>
  <c r="F18" i="13" s="1"/>
  <c r="F19" i="13" s="1"/>
  <c r="F11" i="13"/>
  <c r="G15" i="13"/>
  <c r="G18" i="13" s="1"/>
  <c r="G19" i="13" s="1"/>
  <c r="G11" i="13"/>
  <c r="D21" i="12"/>
  <c r="D23" i="12" s="1"/>
  <c r="D25" i="12" s="1"/>
  <c r="D27" i="12" s="1"/>
  <c r="D23" i="13"/>
  <c r="D25" i="13" s="1"/>
  <c r="D26" i="13" s="1"/>
  <c r="D29" i="13" s="1"/>
  <c r="E16" i="10"/>
  <c r="F12" i="12"/>
  <c r="F13" i="12" s="1"/>
  <c r="G13" i="12"/>
  <c r="F13" i="10"/>
  <c r="H5" i="12" s="1"/>
  <c r="H9" i="12" s="1"/>
  <c r="H11" i="12" s="1"/>
  <c r="H4" i="13"/>
  <c r="H5" i="13" s="1"/>
  <c r="H6" i="13" s="1"/>
  <c r="H16" i="12"/>
  <c r="H17" i="12" s="1"/>
  <c r="H9" i="13"/>
  <c r="D18" i="10"/>
  <c r="E26" i="12" l="1"/>
  <c r="E27" i="12" s="1"/>
  <c r="B29" i="11"/>
  <c r="B30" i="11" s="1"/>
  <c r="F14" i="10"/>
  <c r="H12" i="12" s="1"/>
  <c r="H13" i="12" s="1"/>
  <c r="E18" i="10"/>
  <c r="G24" i="13"/>
  <c r="G28" i="13" s="1"/>
  <c r="F21" i="12"/>
  <c r="F23" i="12" s="1"/>
  <c r="F25" i="12" s="1"/>
  <c r="F23" i="13"/>
  <c r="F25" i="13" s="1"/>
  <c r="F26" i="13" s="1"/>
  <c r="F29" i="13" s="1"/>
  <c r="D7" i="11"/>
  <c r="E7" i="11" s="1"/>
  <c r="H10" i="13"/>
  <c r="H15" i="13" l="1"/>
  <c r="H18" i="13" s="1"/>
  <c r="J10" i="13"/>
  <c r="H11" i="13"/>
  <c r="F16" i="10"/>
  <c r="C29" i="11"/>
  <c r="C30" i="11" s="1"/>
  <c r="F26" i="12"/>
  <c r="F27" i="12" s="1"/>
  <c r="G21" i="12"/>
  <c r="G23" i="12" s="1"/>
  <c r="G25" i="12" s="1"/>
  <c r="G23" i="13"/>
  <c r="G25" i="13" s="1"/>
  <c r="G26" i="13" s="1"/>
  <c r="G29" i="13" s="1"/>
  <c r="H19" i="13" l="1"/>
  <c r="J18" i="13"/>
  <c r="G26" i="12"/>
  <c r="G27" i="12" s="1"/>
  <c r="D29" i="11"/>
  <c r="D30" i="11" s="1"/>
  <c r="F18" i="10"/>
  <c r="H24" i="13"/>
  <c r="H28" i="13" s="1"/>
  <c r="B8" i="11"/>
  <c r="B18" i="11" s="1"/>
  <c r="B32" i="11" s="1"/>
  <c r="J19" i="13" l="1"/>
  <c r="K19" i="13"/>
  <c r="H21" i="12"/>
  <c r="H23" i="12" s="1"/>
  <c r="H25" i="12" s="1"/>
  <c r="H23" i="13"/>
  <c r="H25" i="13" s="1"/>
  <c r="H26" i="13" s="1"/>
  <c r="H29" i="13" s="1"/>
  <c r="H30" i="13" s="1"/>
  <c r="F7" i="11"/>
  <c r="H26" i="12"/>
  <c r="H27" i="12" s="1"/>
  <c r="F29" i="11" s="1"/>
  <c r="F30" i="11" s="1"/>
  <c r="E29" i="11"/>
  <c r="E30" i="11" s="1"/>
  <c r="D8" i="11"/>
  <c r="D18" i="11" s="1"/>
  <c r="D32" i="11" s="1"/>
  <c r="C8" i="11"/>
  <c r="C18" i="11" s="1"/>
  <c r="C32" i="11" s="1"/>
  <c r="F8" i="11" l="1"/>
  <c r="F18" i="11" s="1"/>
  <c r="F32" i="11" s="1"/>
  <c r="E8" i="11"/>
  <c r="E18" i="11" s="1"/>
  <c r="E32" i="1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<sst xmlns="http://schemas.openxmlformats.org/spreadsheetml/2006/main" count="351" uniqueCount="236">
  <si>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</si>
  <si>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</si>
  <si>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</si>
  <si>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</si>
  <si>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</si>
  <si>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</si>
  <si>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</si>
  <si>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</si>
  <si>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</si>
  <si>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</si>
  <si>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</si>
  <si>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</si>
  <si>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</si>
  <si>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</si>
  <si>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</si>
  <si>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</si>
  <si>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</si>
  <si>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</si>
  <si>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</si>
  <si>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</si>
  <si>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</si>
  <si>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</si>
  <si>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</si>
  <si>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</si>
  <si>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</si>
  <si>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</si>
  <si>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</si>
  <si>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</si>
  <si>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</si>
  <si>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</si>
  <si>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</si>
  <si>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</si>
  <si>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</si>
  <si>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</si>
  <si>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</si>
  <si>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</si>
  <si>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</si>
  <si>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</si>
  <si>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</si>
  <si>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</si>
  <si>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</si>
  <si>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</si>
  <si>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</si>
  <si>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</si>
  <si>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</si>
  <si>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</si>
  <si>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</si>
  <si>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</si>
  <si>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</si>
  <si>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</si>
  <si>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</si>
  <si>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</si>
  <si>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</si>
  <si>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</si>
  <si>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</si>
  <si>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</si>
  <si>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</si>
  <si>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</si>
  <si>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</si>
  <si>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</si>
  <si>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</si>
  <si>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</si>
  <si>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</si>
  <si>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ULTRATECH CEMENT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</si>
  <si>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</si>
  <si>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</si>
  <si>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</si>
  <si>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</si>
  <si>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</si>
  <si>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</si>
  <si>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</si>
  <si>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</si>
  <si>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</si>
  <si>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</si>
  <si>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</si>
  <si>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</si>
  <si>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</si>
  <si>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</si>
  <si>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</si>
  <si>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</si>
  <si>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</si>
  <si>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</si>
  <si>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</si>
  <si>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</si>
  <si>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</si>
  <si>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</si>
  <si>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</si>
  <si>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</si>
  <si>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</si>
  <si>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</si>
  <si>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</si>
  <si>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</si>
  <si>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</si>
  <si>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ULTRATECH CEMENT</t>
  </si>
  <si>
    <t>Income Statement</t>
  </si>
  <si>
    <t xml:space="preserve">Sales </t>
  </si>
  <si>
    <t>Cost of Goods sold</t>
  </si>
  <si>
    <t>Gross Profit</t>
  </si>
  <si>
    <t>S&amp;G Expenses</t>
  </si>
  <si>
    <t>EBITDA</t>
  </si>
  <si>
    <t>Depreciation &amp; Amort.</t>
  </si>
  <si>
    <t>EBIT</t>
  </si>
  <si>
    <t>EBT</t>
  </si>
  <si>
    <t>Net Profit</t>
  </si>
  <si>
    <t>COGS % Sales</t>
  </si>
  <si>
    <t>Gross Profit Margin</t>
  </si>
  <si>
    <t>S&amp;G Exp % Sales</t>
  </si>
  <si>
    <t>Total Revenue</t>
  </si>
  <si>
    <t>EBITDA Margin</t>
  </si>
  <si>
    <t>Depreciation % Sales</t>
  </si>
  <si>
    <t>EBIT Margin</t>
  </si>
  <si>
    <t>Interest % Sales</t>
  </si>
  <si>
    <t>EBT % Sales</t>
  </si>
  <si>
    <t>Effective Tax Rate</t>
  </si>
  <si>
    <t xml:space="preserve">BALANCE SHEET </t>
  </si>
  <si>
    <t>Equity and Liabilities</t>
  </si>
  <si>
    <t>Equity share Capital</t>
  </si>
  <si>
    <t>Total Liabilities</t>
  </si>
  <si>
    <t>Net block</t>
  </si>
  <si>
    <t>Capital work in Progress</t>
  </si>
  <si>
    <t>Investment</t>
  </si>
  <si>
    <t>Total Non Current Assests</t>
  </si>
  <si>
    <t>Inventories</t>
  </si>
  <si>
    <t>Total Cureent Assets</t>
  </si>
  <si>
    <t>Total Assets</t>
  </si>
  <si>
    <t>Receivables % Sales</t>
  </si>
  <si>
    <t>FUTURE PROJECTION</t>
  </si>
  <si>
    <t>COGS</t>
  </si>
  <si>
    <t>COGS  % of Sales</t>
  </si>
  <si>
    <t>Marginal Tax Rate</t>
  </si>
  <si>
    <t>Closing PPE as % of Sales</t>
  </si>
  <si>
    <t>S&amp;G Exp % of Sales</t>
  </si>
  <si>
    <t>Depreciation (% of PPE opening Balance)</t>
  </si>
  <si>
    <t>Interest Rate(% of Opening Debt)</t>
  </si>
  <si>
    <t>Forecasting Sales Growth</t>
  </si>
  <si>
    <t>Year Weight</t>
  </si>
  <si>
    <t>Year</t>
  </si>
  <si>
    <t>Forecasting COGS as % of Sales</t>
  </si>
  <si>
    <t xml:space="preserve">COGS as % of Sales </t>
  </si>
  <si>
    <t>Forecasting S&amp;G Exp as % of Sales</t>
  </si>
  <si>
    <t>S&amp;G Exp</t>
  </si>
  <si>
    <t>S&amp;G Exp as % of Sales</t>
  </si>
  <si>
    <t>Forecasting of Depreciation
(% of PPE opening Balance)</t>
  </si>
  <si>
    <t>Dep(% of PPE OB)</t>
  </si>
  <si>
    <t>Forecating of Interest Rate
(% of Opening Debt)</t>
  </si>
  <si>
    <t xml:space="preserve"> Net Block as PPE</t>
  </si>
  <si>
    <t xml:space="preserve">Interest </t>
  </si>
  <si>
    <t>Closing PPE as % Sales</t>
  </si>
  <si>
    <t>Borrowing as Debt</t>
  </si>
  <si>
    <t>Interest Rate % of Opening Debt</t>
  </si>
  <si>
    <t>FORECASTING OF BALANCE SHEET</t>
  </si>
  <si>
    <t xml:space="preserve">Equity </t>
  </si>
  <si>
    <t>Equity Capital</t>
  </si>
  <si>
    <t>Total Equity</t>
  </si>
  <si>
    <t>Liabilities</t>
  </si>
  <si>
    <t>Non current Liabilities</t>
  </si>
  <si>
    <t>Current Liabilities</t>
  </si>
  <si>
    <t>Trade Payables</t>
  </si>
  <si>
    <t>Assets</t>
  </si>
  <si>
    <t>Non Current Assets</t>
  </si>
  <si>
    <t>Current Assets</t>
  </si>
  <si>
    <t>Inventory % COGS</t>
  </si>
  <si>
    <t>Net Blocks (PPE)</t>
  </si>
  <si>
    <t>(Marginal Tax Rate)</t>
  </si>
  <si>
    <t>FORECASTING OF INCOME STATEMENT</t>
  </si>
  <si>
    <t>(% of Sales)</t>
  </si>
  <si>
    <t>(Assumption:- 6% of Sales)</t>
  </si>
  <si>
    <t>Dividend Paid</t>
  </si>
  <si>
    <t>Retained Earnings</t>
  </si>
  <si>
    <t>FORECASTING OF CASH FLOW STATEMENT</t>
  </si>
  <si>
    <t>Cash Flow from Operating Activities</t>
  </si>
  <si>
    <t>Profit before Tax</t>
  </si>
  <si>
    <t>Adjustment for Non cash/ Non Operating Expenses</t>
  </si>
  <si>
    <t>Add:- Depreciation</t>
  </si>
  <si>
    <t>Add:- Interest</t>
  </si>
  <si>
    <t>Operating Income Before Working Capital  Changes</t>
  </si>
  <si>
    <t xml:space="preserve">Less:- Changes in Working Capital </t>
  </si>
  <si>
    <t>Operating Income After Working Capital  Changes</t>
  </si>
  <si>
    <t>Less:- Tax</t>
  </si>
  <si>
    <t>Cash Flow from Investing Activities</t>
  </si>
  <si>
    <t>Purchase Of PPE(Net blocks)</t>
  </si>
  <si>
    <t>Cash Flow from Financing Activities</t>
  </si>
  <si>
    <t>Interest Paid</t>
  </si>
  <si>
    <t>Total Cash Flow</t>
  </si>
  <si>
    <t>Cash and Cash Equivalent at the Beginning</t>
  </si>
  <si>
    <t>Cash and Cash Equivalent at the End</t>
  </si>
  <si>
    <t>Supporting Schedule</t>
  </si>
  <si>
    <t>Working Capital Schedule</t>
  </si>
  <si>
    <t>Total Current Liability</t>
  </si>
  <si>
    <t>Total Current Assets</t>
  </si>
  <si>
    <t>Change in Working Capital</t>
  </si>
  <si>
    <t>PPE Schedule</t>
  </si>
  <si>
    <t>Purchase of PPE(Net Block)</t>
  </si>
  <si>
    <t>Less:- Depreciation</t>
  </si>
  <si>
    <t>Change in PPE</t>
  </si>
  <si>
    <t>Borrowing Schedule</t>
  </si>
  <si>
    <t>Change in Borrowings</t>
  </si>
  <si>
    <r>
      <t xml:space="preserve">Retained Earning( </t>
    </r>
    <r>
      <rPr>
        <sz val="11"/>
        <color theme="4"/>
        <rFont val="Calibri"/>
        <family val="2"/>
        <scheme val="minor"/>
      </rPr>
      <t>Assumed</t>
    </r>
    <r>
      <rPr>
        <sz val="11"/>
        <color theme="1"/>
        <rFont val="Calibri"/>
        <family val="2"/>
        <scheme val="minor"/>
      </rPr>
      <t>)</t>
    </r>
  </si>
  <si>
    <t>FREE CASH FLOW TO FIRM</t>
  </si>
  <si>
    <t>NOPLAT</t>
  </si>
  <si>
    <t>Less:- Change in working Capital</t>
  </si>
  <si>
    <t>FCFF</t>
  </si>
  <si>
    <t>PV of FCFF</t>
  </si>
  <si>
    <t>Less:- Change in  Capital Expenditure</t>
  </si>
  <si>
    <t>TERMINAL VALUE</t>
  </si>
  <si>
    <t>VALUE OF FIRM</t>
  </si>
  <si>
    <t>FREE CASH FLOW TO EQUITY</t>
  </si>
  <si>
    <t>Less:- Interest(1-Tax)</t>
  </si>
  <si>
    <t>Net Debt</t>
  </si>
  <si>
    <t>FCFE</t>
  </si>
  <si>
    <t>PV of FCFE</t>
  </si>
  <si>
    <t>WORKING FOR GROWTH RATE</t>
  </si>
  <si>
    <t>Net Income</t>
  </si>
  <si>
    <t>Dividend Payout Ratio</t>
  </si>
  <si>
    <t>Retention Ratio</t>
  </si>
  <si>
    <t>ROE</t>
  </si>
  <si>
    <t>Growth Rate</t>
  </si>
  <si>
    <t>WORKING FOR WEIGHTED AVERAGE COST OF CAPITAL</t>
  </si>
  <si>
    <t>Sources of Funds</t>
  </si>
  <si>
    <t>Market Value</t>
  </si>
  <si>
    <t>Weight</t>
  </si>
  <si>
    <t>Cost</t>
  </si>
  <si>
    <t>Average Weight</t>
  </si>
  <si>
    <t>Equity</t>
  </si>
  <si>
    <t>Debt</t>
  </si>
  <si>
    <t>WORKING FOR  COST OF EQUITY</t>
  </si>
  <si>
    <t>Risk Free Rate of Return</t>
  </si>
  <si>
    <t>Beta</t>
  </si>
  <si>
    <t>Expected Market Rate of Return</t>
  </si>
  <si>
    <t>Risk Premium</t>
  </si>
  <si>
    <t xml:space="preserve">Cost of Equity </t>
  </si>
  <si>
    <t>WORKING FOR  COST OF DEBT</t>
  </si>
  <si>
    <t>Pre Tax Cost of Debt</t>
  </si>
  <si>
    <t>Post Tax Cost of Debt</t>
  </si>
  <si>
    <t>WACC</t>
  </si>
  <si>
    <t>Figures in Crores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</si>
</sst>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#,##0.00_ ;\-#,##0.00\ "/>
    <numFmt numFmtId="167" formatCode="0.0%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theme="0"/>
      <name val="Calibri"/>
      <family val="2"/>
      <scheme val="minor"/>
    </font>
    <font>
      <sz val="11"/>
      <color rgb="FF0275D8"/>
      <name val="Calibri"/>
      <family val="2"/>
      <scheme val="minor"/>
    </font>
    <font>
      <b/>
      <sz val="11"/>
      <name val="Calibri"/>
      <family val="2"/>
      <scheme val="minor"/>
    </font>
    <font>
      <sz val="16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4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/>
      <top style="thin">
        <color auto="1"/>
      </top>
      <bottom/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107">
    <xf numFmtId="0" fontId="0" fillId="0" borderId="0" xfId="0"/>
    <xf numFmtId="43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43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43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43" fontId="0" fillId="0" borderId="0" xfId="1" applyNumberFormat="1" applyFont="1" applyBorder="1" applyAlignment="1">
      <alignment horizontal="center"/>
    </xf>
    <xf numFmtId="43" fontId="1" fillId="0" borderId="0" xfId="1" applyNumberFormat="1" applyFont="1" applyBorder="1" applyAlignment="1">
      <alignment horizontal="center"/>
    </xf>
    <xf numFmtId="43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164" fontId="0" fillId="0" borderId="0" xfId="1" applyNumberFormat="1" applyFont="1" applyBorder="1"/>
    <xf numFmtId="0" fontId="1" fillId="0" borderId="0" xfId="0" applyFont="1"/>
    <xf numFmtId="39" fontId="10" fillId="0" borderId="0" xfId="0" applyNumberFormat="1" applyFont="1"/>
    <xf numFmtId="39" fontId="11" fillId="5" borderId="0" xfId="0" applyNumberFormat="1" applyFont="1" applyFill="1"/>
    <xf numFmtId="17" fontId="11" fillId="5" borderId="0" xfId="0" applyNumberFormat="1" applyFont="1" applyFill="1"/>
    <xf numFmtId="39" fontId="0" fillId="0" borderId="0" xfId="0" applyNumberFormat="1"/>
    <xf numFmtId="9" fontId="12" fillId="0" borderId="0" xfId="6" applyFont="1"/>
    <xf numFmtId="0" fontId="12" fillId="0" borderId="0" xfId="0" applyFont="1"/>
    <xf numFmtId="9" fontId="0" fillId="0" borderId="0" xfId="6" applyFont="1"/>
    <xf numFmtId="166" fontId="1" fillId="0" borderId="0" xfId="0" applyNumberFormat="1" applyFont="1"/>
    <xf numFmtId="0" fontId="9" fillId="0" borderId="0" xfId="0" applyFont="1"/>
    <xf numFmtId="0" fontId="13" fillId="0" borderId="0" xfId="0" applyFont="1"/>
    <xf numFmtId="17" fontId="0" fillId="0" borderId="0" xfId="0" applyNumberFormat="1"/>
    <xf numFmtId="0" fontId="11" fillId="5" borderId="0" xfId="0" applyFont="1" applyFill="1"/>
    <xf numFmtId="17" fontId="14" fillId="5" borderId="0" xfId="0" applyNumberFormat="1" applyFont="1" applyFill="1"/>
    <xf numFmtId="0" fontId="1" fillId="0" borderId="1" xfId="0" applyFont="1" applyBorder="1"/>
    <xf numFmtId="166" fontId="1" fillId="0" borderId="1" xfId="0" applyNumberFormat="1" applyFont="1" applyBorder="1"/>
    <xf numFmtId="39" fontId="1" fillId="0" borderId="0" xfId="0" applyNumberFormat="1" applyFont="1"/>
    <xf numFmtId="0" fontId="1" fillId="0" borderId="2" xfId="0" applyFont="1" applyBorder="1"/>
    <xf numFmtId="39" fontId="1" fillId="0" borderId="2" xfId="0" applyNumberFormat="1" applyFont="1" applyBorder="1"/>
    <xf numFmtId="39" fontId="1" fillId="0" borderId="1" xfId="0" applyNumberFormat="1" applyFont="1" applyBorder="1"/>
    <xf numFmtId="0" fontId="0" fillId="6" borderId="0" xfId="0" applyFill="1"/>
    <xf numFmtId="17" fontId="0" fillId="6" borderId="0" xfId="0" applyNumberFormat="1" applyFill="1"/>
    <xf numFmtId="39" fontId="0" fillId="6" borderId="0" xfId="0" applyNumberFormat="1" applyFill="1"/>
    <xf numFmtId="9" fontId="0" fillId="6" borderId="0" xfId="6" applyFont="1" applyFill="1"/>
    <xf numFmtId="9" fontId="3" fillId="0" borderId="0" xfId="6" applyFont="1"/>
    <xf numFmtId="0" fontId="1" fillId="0" borderId="0" xfId="0" applyFont="1" applyAlignment="1">
      <alignment wrapText="1"/>
    </xf>
    <xf numFmtId="9" fontId="0" fillId="0" borderId="0" xfId="0" applyNumberFormat="1"/>
    <xf numFmtId="0" fontId="0" fillId="0" borderId="4" xfId="0" applyBorder="1"/>
    <xf numFmtId="9" fontId="0" fillId="0" borderId="0" xfId="6" applyFont="1" applyBorder="1"/>
    <xf numFmtId="9" fontId="0" fillId="0" borderId="5" xfId="6" applyFont="1" applyBorder="1"/>
    <xf numFmtId="0" fontId="0" fillId="0" borderId="6" xfId="0" applyBorder="1"/>
    <xf numFmtId="9" fontId="0" fillId="0" borderId="7" xfId="6" applyFont="1" applyBorder="1"/>
    <xf numFmtId="9" fontId="0" fillId="0" borderId="8" xfId="6" applyFont="1" applyBorder="1"/>
    <xf numFmtId="0" fontId="0" fillId="0" borderId="9" xfId="0" applyBorder="1"/>
    <xf numFmtId="9" fontId="0" fillId="0" borderId="10" xfId="6" applyFont="1" applyBorder="1"/>
    <xf numFmtId="0" fontId="0" fillId="0" borderId="0" xfId="0" applyFont="1"/>
    <xf numFmtId="39" fontId="0" fillId="7" borderId="3" xfId="0" applyNumberFormat="1" applyFill="1" applyBorder="1"/>
    <xf numFmtId="9" fontId="0" fillId="8" borderId="0" xfId="0" applyNumberFormat="1" applyFill="1"/>
    <xf numFmtId="0" fontId="12" fillId="0" borderId="0" xfId="0" applyFont="1" applyFill="1" applyBorder="1"/>
    <xf numFmtId="0" fontId="1" fillId="0" borderId="11" xfId="0" applyFont="1" applyBorder="1"/>
    <xf numFmtId="0" fontId="1" fillId="8" borderId="0" xfId="0" applyFont="1" applyFill="1"/>
    <xf numFmtId="17" fontId="15" fillId="7" borderId="3" xfId="0" applyNumberFormat="1" applyFont="1" applyFill="1" applyBorder="1"/>
    <xf numFmtId="0" fontId="1" fillId="0" borderId="3" xfId="0" applyFont="1" applyBorder="1"/>
    <xf numFmtId="166" fontId="0" fillId="0" borderId="0" xfId="0" applyNumberFormat="1"/>
    <xf numFmtId="17" fontId="1" fillId="0" borderId="3" xfId="0" applyNumberFormat="1" applyFont="1" applyBorder="1"/>
    <xf numFmtId="166" fontId="0" fillId="0" borderId="11" xfId="0" applyNumberFormat="1" applyBorder="1"/>
    <xf numFmtId="39" fontId="1" fillId="0" borderId="11" xfId="0" applyNumberFormat="1" applyFont="1" applyBorder="1"/>
    <xf numFmtId="166" fontId="1" fillId="0" borderId="11" xfId="0" applyNumberFormat="1" applyFont="1" applyBorder="1"/>
    <xf numFmtId="17" fontId="16" fillId="5" borderId="0" xfId="0" applyNumberFormat="1" applyFont="1" applyFill="1"/>
    <xf numFmtId="166" fontId="0" fillId="0" borderId="1" xfId="0" applyNumberFormat="1" applyBorder="1"/>
    <xf numFmtId="9" fontId="0" fillId="0" borderId="12" xfId="6" applyFont="1" applyBorder="1"/>
    <xf numFmtId="0" fontId="1" fillId="0" borderId="13" xfId="0" applyFont="1" applyBorder="1"/>
    <xf numFmtId="39" fontId="1" fillId="0" borderId="13" xfId="0" applyNumberFormat="1" applyFont="1" applyBorder="1"/>
    <xf numFmtId="0" fontId="1" fillId="0" borderId="10" xfId="0" applyFont="1" applyBorder="1"/>
    <xf numFmtId="39" fontId="0" fillId="0" borderId="0" xfId="0" applyNumberFormat="1" applyFont="1" applyBorder="1"/>
    <xf numFmtId="0" fontId="0" fillId="0" borderId="13" xfId="0" applyBorder="1"/>
    <xf numFmtId="0" fontId="0" fillId="0" borderId="10" xfId="0" applyBorder="1"/>
    <xf numFmtId="9" fontId="1" fillId="0" borderId="13" xfId="6" applyFont="1" applyBorder="1"/>
    <xf numFmtId="9" fontId="1" fillId="0" borderId="10" xfId="0" applyNumberFormat="1" applyFont="1" applyBorder="1"/>
    <xf numFmtId="3" fontId="0" fillId="0" borderId="0" xfId="0" applyNumberFormat="1"/>
    <xf numFmtId="3" fontId="1" fillId="0" borderId="0" xfId="0" applyNumberFormat="1" applyFont="1"/>
    <xf numFmtId="167" fontId="0" fillId="0" borderId="0" xfId="6" applyNumberFormat="1" applyFont="1"/>
    <xf numFmtId="10" fontId="0" fillId="0" borderId="0" xfId="6" applyNumberFormat="1" applyFont="1"/>
    <xf numFmtId="167" fontId="0" fillId="0" borderId="0" xfId="0" applyNumberFormat="1"/>
    <xf numFmtId="10" fontId="0" fillId="0" borderId="0" xfId="0" applyNumberFormat="1"/>
    <xf numFmtId="10" fontId="1" fillId="0" borderId="0" xfId="0" applyNumberFormat="1" applyFont="1"/>
    <xf numFmtId="9" fontId="1" fillId="0" borderId="0" xfId="6" applyFont="1"/>
    <xf numFmtId="39" fontId="1" fillId="0" borderId="10" xfId="0" applyNumberFormat="1" applyFont="1" applyBorder="1"/>
    <xf numFmtId="39" fontId="1" fillId="8" borderId="0" xfId="0" applyNumberFormat="1" applyFont="1" applyFill="1"/>
    <xf numFmtId="0" fontId="0" fillId="0" borderId="11" xfId="0" applyBorder="1"/>
    <xf numFmtId="9" fontId="1" fillId="0" borderId="11" xfId="0" applyNumberFormat="1" applyFont="1" applyBorder="1"/>
    <xf numFmtId="39" fontId="0" fillId="0" borderId="0" xfId="0" applyNumberFormat="1" applyFont="1"/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  <xf numFmtId="0" fontId="2" fillId="5" borderId="0" xfId="0" applyFont="1" applyFill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85546875" defaultRowHeight="15" x14ac:dyDescent="0.25"/>
  <cols>
    <col min="1" max="1" width="20.7109375" style="6" customWidth="1"/>
    <col min="2" max="6" width="13.42578125" style="6" customWidth="1"/>
    <col min="7" max="7" width="14.85546875" style="6" bestFit="1" customWidth="1"/>
    <col min="8" max="11" width="13.42578125" style="6" customWidth="1"/>
    <col min="12" max="12" width="13.28515625" style="6" customWidth="1"/>
    <col min="13" max="14" width="12.140625" style="6" customWidth="1"/>
    <col min="15" max="16384" width="8.85546875" style="6"/>
  </cols>
  <sheetData>
    <row r="1" spans="1:14" s="8" customFormat="1" x14ac:dyDescent="0.25">
      <c r="A1" s="8" t="str">
        <f>'Data Sheet'!B1</f>
        <v>ULTRATECH CEMENT LTD</v>
      </c>
      <c r="H1" t="str">
        <f>UPDATE</f>
        <v/>
      </c>
      <c r="J1" s="3"/>
      <c r="K1" s="3"/>
      <c r="M1" s="8" t="s">
        <v>1</v>
      </c>
    </row>
    <row r="3" spans="1:14" s="2" customFormat="1" x14ac:dyDescent="0.25">
      <c r="A3" s="15" t="s">
        <v>2</v>
      </c>
      <c r="B3" s="16">
        <f>'Data Sheet'!B16</f>
        <v>42460</v>
      </c>
      <c r="C3" s="16">
        <f>'Data Sheet'!C16</f>
        <v>42825</v>
      </c>
      <c r="D3" s="16">
        <f>'Data Sheet'!D16</f>
        <v>43190</v>
      </c>
      <c r="E3" s="16">
        <f>'Data Sheet'!E16</f>
        <v>43555</v>
      </c>
      <c r="F3" s="16">
        <f>'Data Sheet'!F16</f>
        <v>43921</v>
      </c>
      <c r="G3" s="16">
        <f>'Data Sheet'!G16</f>
        <v>44286</v>
      </c>
      <c r="H3" s="16">
        <f>'Data Sheet'!H16</f>
        <v>44651</v>
      </c>
      <c r="I3" s="16">
        <f>'Data Sheet'!I16</f>
        <v>45016</v>
      </c>
      <c r="J3" s="16">
        <f>'Data Sheet'!J16</f>
        <v>45382</v>
      </c>
      <c r="K3" s="16">
        <f>'Data Sheet'!K16</f>
        <v>45747</v>
      </c>
      <c r="L3" s="17" t="s">
        <v>3</v>
      </c>
      <c r="M3" s="17" t="s">
        <v>4</v>
      </c>
      <c r="N3" s="17" t="s">
        <v>5</v>
      </c>
    </row>
    <row r="4" spans="1:14" s="8" customFormat="1" x14ac:dyDescent="0.25">
      <c r="A4" s="8" t="s">
        <v>6</v>
      </c>
      <c r="B4" s="1">
        <f>'Data Sheet'!B17</f>
        <v>25153.24</v>
      </c>
      <c r="C4" s="1">
        <f>'Data Sheet'!C17</f>
        <v>25374.94</v>
      </c>
      <c r="D4" s="1">
        <f>'Data Sheet'!D17</f>
        <v>30978.62</v>
      </c>
      <c r="E4" s="1">
        <f>'Data Sheet'!E17</f>
        <v>41462.26</v>
      </c>
      <c r="F4" s="1">
        <f>'Data Sheet'!F17</f>
        <v>42429.89</v>
      </c>
      <c r="G4" s="1">
        <f>'Data Sheet'!G17</f>
        <v>44725.8</v>
      </c>
      <c r="H4" s="1">
        <f>'Data Sheet'!H17</f>
        <v>52598.83</v>
      </c>
      <c r="I4" s="1">
        <f>'Data Sheet'!I17</f>
        <v>63239.98</v>
      </c>
      <c r="J4" s="1">
        <f>'Data Sheet'!J17</f>
        <v>70908.14</v>
      </c>
      <c r="K4" s="1">
        <f>'Data Sheet'!K17</f>
        <v>75955.13</v>
      </c>
      <c r="L4" s="1">
        <f>SUM(Quarters!H4:K4)</f>
        <v>81724.53</v>
      </c>
      <c r="M4" s="1">
        <f>$K4+M23*K4</f>
        <v>85852.073205545996</v>
      </c>
      <c r="N4" s="1">
        <f>$K4+N23*L4</f>
        <v>82162.762103085071</v>
      </c>
    </row>
    <row r="5" spans="1:14" x14ac:dyDescent="0.25">
      <c r="A5" s="6" t="s">
        <v>7</v>
      </c>
      <c r="B5" s="9">
        <f>SUM('Data Sheet'!B18,'Data Sheet'!B20:B24, -1*'Data Sheet'!B19)</f>
        <v>20252.269999999997</v>
      </c>
      <c r="C5" s="9">
        <f>SUM('Data Sheet'!C18,'Data Sheet'!C20:C24, -1*'Data Sheet'!C19)</f>
        <v>20162.499999999996</v>
      </c>
      <c r="D5" s="9">
        <f>SUM('Data Sheet'!D18,'Data Sheet'!D20:D24, -1*'Data Sheet'!D19)</f>
        <v>24833.589999999997</v>
      </c>
      <c r="E5" s="9">
        <f>SUM('Data Sheet'!E18,'Data Sheet'!E20:E24, -1*'Data Sheet'!E19)</f>
        <v>34115.32</v>
      </c>
      <c r="F5" s="9">
        <f>SUM('Data Sheet'!F18,'Data Sheet'!F20:F24, -1*'Data Sheet'!F19)</f>
        <v>33183.919999999998</v>
      </c>
      <c r="G5" s="9">
        <f>SUM('Data Sheet'!G18,'Data Sheet'!G20:G24, -1*'Data Sheet'!G19)</f>
        <v>33157.890000000007</v>
      </c>
      <c r="H5" s="9">
        <f>SUM('Data Sheet'!H18,'Data Sheet'!H20:H24, -1*'Data Sheet'!H19)</f>
        <v>41084.479999999996</v>
      </c>
      <c r="I5" s="9">
        <f>SUM('Data Sheet'!I18,'Data Sheet'!I20:I24, -1*'Data Sheet'!I19)</f>
        <v>52620.13</v>
      </c>
      <c r="J5" s="9">
        <f>SUM('Data Sheet'!J18,'Data Sheet'!J20:J24, -1*'Data Sheet'!J19)</f>
        <v>57929.58</v>
      </c>
      <c r="K5" s="9">
        <f>SUM('Data Sheet'!K18,'Data Sheet'!K20:K24, -1*'Data Sheet'!K19)</f>
        <v>63158.249999999993</v>
      </c>
      <c r="L5" s="9">
        <f>SUM(Quarters!H5:K5)</f>
        <v>66728.69</v>
      </c>
      <c r="M5" s="9">
        <f t="shared" ref="M5:N5" si="0">M4-M6</f>
        <v>70098.859899104777</v>
      </c>
      <c r="N5" s="9">
        <f t="shared" si="0"/>
        <v>67930.057211833788</v>
      </c>
    </row>
    <row r="6" spans="1:14" s="8" customFormat="1" x14ac:dyDescent="0.25">
      <c r="A6" s="8" t="s">
        <v>8</v>
      </c>
      <c r="B6" s="1">
        <f>B4-B5</f>
        <v>4900.9700000000048</v>
      </c>
      <c r="C6" s="1">
        <f t="shared" ref="C6:K6" si="1">C4-C5</f>
        <v>5212.4400000000023</v>
      </c>
      <c r="D6" s="1">
        <f t="shared" si="1"/>
        <v>6145.0300000000025</v>
      </c>
      <c r="E6" s="1">
        <f t="shared" si="1"/>
        <v>7346.9400000000023</v>
      </c>
      <c r="F6" s="1">
        <f t="shared" si="1"/>
        <v>9245.9700000000012</v>
      </c>
      <c r="G6" s="1">
        <f t="shared" si="1"/>
        <v>11567.909999999996</v>
      </c>
      <c r="H6" s="1">
        <f t="shared" si="1"/>
        <v>11514.350000000006</v>
      </c>
      <c r="I6" s="1">
        <f t="shared" si="1"/>
        <v>10619.850000000006</v>
      </c>
      <c r="J6" s="1">
        <f t="shared" si="1"/>
        <v>12978.559999999998</v>
      </c>
      <c r="K6" s="1">
        <f t="shared" si="1"/>
        <v>12796.880000000012</v>
      </c>
      <c r="L6" s="1">
        <f>SUM(Quarters!H6:K6)</f>
        <v>14995.84</v>
      </c>
      <c r="M6" s="1">
        <f>M4*M24</f>
        <v>15753.213306441223</v>
      </c>
      <c r="N6" s="1">
        <f>N4*N24</f>
        <v>14232.704891251289</v>
      </c>
    </row>
    <row r="7" spans="1:14" x14ac:dyDescent="0.25">
      <c r="A7" s="6" t="s">
        <v>9</v>
      </c>
      <c r="B7" s="9">
        <f>'Data Sheet'!B25</f>
        <v>463.81</v>
      </c>
      <c r="C7" s="9">
        <f>'Data Sheet'!C25</f>
        <v>648.12</v>
      </c>
      <c r="D7" s="9">
        <f>'Data Sheet'!D25</f>
        <v>241.97</v>
      </c>
      <c r="E7" s="9">
        <f>'Data Sheet'!E25</f>
        <v>350.1</v>
      </c>
      <c r="F7" s="9">
        <f>'Data Sheet'!F25</f>
        <v>651.05999999999995</v>
      </c>
      <c r="G7" s="9">
        <f>'Data Sheet'!G25</f>
        <v>618.52</v>
      </c>
      <c r="H7" s="9">
        <f>'Data Sheet'!H25</f>
        <v>669.43</v>
      </c>
      <c r="I7" s="9">
        <f>'Data Sheet'!I25</f>
        <v>507.11</v>
      </c>
      <c r="J7" s="9">
        <f>'Data Sheet'!J25</f>
        <v>556.96</v>
      </c>
      <c r="K7" s="9">
        <f>'Data Sheet'!K25</f>
        <v>396.74</v>
      </c>
      <c r="L7" s="9">
        <f>SUM(Quarters!H7:K7)</f>
        <v>656.09</v>
      </c>
      <c r="M7" s="9">
        <v>0</v>
      </c>
      <c r="N7" s="9">
        <v>0</v>
      </c>
    </row>
    <row r="8" spans="1:14" x14ac:dyDescent="0.25">
      <c r="A8" s="6" t="s">
        <v>10</v>
      </c>
      <c r="B8" s="9">
        <f>'Data Sheet'!B26</f>
        <v>1377.17</v>
      </c>
      <c r="C8" s="9">
        <f>'Data Sheet'!C26</f>
        <v>1348.41</v>
      </c>
      <c r="D8" s="9">
        <f>'Data Sheet'!D26</f>
        <v>1847.93</v>
      </c>
      <c r="E8" s="9">
        <f>'Data Sheet'!E26</f>
        <v>2450.73</v>
      </c>
      <c r="F8" s="9">
        <f>'Data Sheet'!F26</f>
        <v>2722.66</v>
      </c>
      <c r="G8" s="9">
        <f>'Data Sheet'!G26</f>
        <v>2700.23</v>
      </c>
      <c r="H8" s="9">
        <f>'Data Sheet'!H26</f>
        <v>2714.75</v>
      </c>
      <c r="I8" s="9">
        <f>'Data Sheet'!I26</f>
        <v>2887.99</v>
      </c>
      <c r="J8" s="9">
        <f>'Data Sheet'!J26</f>
        <v>3145.3</v>
      </c>
      <c r="K8" s="9">
        <f>'Data Sheet'!K26</f>
        <v>4014.95</v>
      </c>
      <c r="L8" s="9">
        <f>SUM(Quarters!H8:K8)</f>
        <v>4371.8100000000004</v>
      </c>
      <c r="M8" s="9">
        <f>+$L8</f>
        <v>4371.8100000000004</v>
      </c>
      <c r="N8" s="9">
        <f>+$L8</f>
        <v>4371.8100000000004</v>
      </c>
    </row>
    <row r="9" spans="1:14" x14ac:dyDescent="0.25">
      <c r="A9" s="6" t="s">
        <v>11</v>
      </c>
      <c r="B9" s="9">
        <f>'Data Sheet'!B27</f>
        <v>566.29999999999995</v>
      </c>
      <c r="C9" s="9">
        <f>'Data Sheet'!C27</f>
        <v>640.1</v>
      </c>
      <c r="D9" s="9">
        <f>'Data Sheet'!D27</f>
        <v>1237.5999999999999</v>
      </c>
      <c r="E9" s="9">
        <f>'Data Sheet'!E27</f>
        <v>1777.86</v>
      </c>
      <c r="F9" s="9">
        <f>'Data Sheet'!F27</f>
        <v>1991.65</v>
      </c>
      <c r="G9" s="9">
        <f>'Data Sheet'!G27</f>
        <v>1485.65</v>
      </c>
      <c r="H9" s="9">
        <f>'Data Sheet'!H27</f>
        <v>944.71</v>
      </c>
      <c r="I9" s="9">
        <f>'Data Sheet'!I27</f>
        <v>822.72</v>
      </c>
      <c r="J9" s="9">
        <f>'Data Sheet'!J27</f>
        <v>968</v>
      </c>
      <c r="K9" s="9">
        <f>'Data Sheet'!K27</f>
        <v>1650.54</v>
      </c>
      <c r="L9" s="9">
        <f>SUM(Quarters!H9:K9)</f>
        <v>1824.3799999999999</v>
      </c>
      <c r="M9" s="9">
        <f>+$L9</f>
        <v>1824.3799999999999</v>
      </c>
      <c r="N9" s="9">
        <f>+$L9</f>
        <v>1824.3799999999999</v>
      </c>
    </row>
    <row r="10" spans="1:14" x14ac:dyDescent="0.25">
      <c r="A10" s="6" t="s">
        <v>12</v>
      </c>
      <c r="B10" s="9">
        <f>'Data Sheet'!B28</f>
        <v>3421.31</v>
      </c>
      <c r="C10" s="9">
        <f>'Data Sheet'!C28</f>
        <v>3872.05</v>
      </c>
      <c r="D10" s="9">
        <f>'Data Sheet'!D28</f>
        <v>3301.47</v>
      </c>
      <c r="E10" s="9">
        <f>'Data Sheet'!E28</f>
        <v>3468.45</v>
      </c>
      <c r="F10" s="9">
        <f>'Data Sheet'!F28</f>
        <v>5182.72</v>
      </c>
      <c r="G10" s="9">
        <f>'Data Sheet'!G28</f>
        <v>8000.55</v>
      </c>
      <c r="H10" s="9">
        <f>'Data Sheet'!H28</f>
        <v>8524.32</v>
      </c>
      <c r="I10" s="9">
        <f>'Data Sheet'!I28</f>
        <v>7416.25</v>
      </c>
      <c r="J10" s="9">
        <f>'Data Sheet'!J28</f>
        <v>9422.2199999999993</v>
      </c>
      <c r="K10" s="9">
        <f>'Data Sheet'!K28</f>
        <v>7528.13</v>
      </c>
      <c r="L10" s="9">
        <f>SUM(Quarters!H10:K10)</f>
        <v>9455.7400000000016</v>
      </c>
      <c r="M10" s="9">
        <f>M6+M7-SUM(M8:M9)</f>
        <v>9557.0233064412223</v>
      </c>
      <c r="N10" s="9">
        <f>N6+N7-SUM(N8:N9)</f>
        <v>8036.5148912512886</v>
      </c>
    </row>
    <row r="11" spans="1:14" x14ac:dyDescent="0.25">
      <c r="A11" s="6" t="s">
        <v>13</v>
      </c>
      <c r="B11" s="9">
        <f>'Data Sheet'!B29</f>
        <v>941.69</v>
      </c>
      <c r="C11" s="9">
        <f>'Data Sheet'!C29</f>
        <v>1158.54</v>
      </c>
      <c r="D11" s="9">
        <f>'Data Sheet'!D29</f>
        <v>1077.01</v>
      </c>
      <c r="E11" s="9">
        <f>'Data Sheet'!E29</f>
        <v>1068.07</v>
      </c>
      <c r="F11" s="9">
        <f>'Data Sheet'!F29</f>
        <v>-568.16</v>
      </c>
      <c r="G11" s="9">
        <f>'Data Sheet'!G29</f>
        <v>2538.6999999999998</v>
      </c>
      <c r="H11" s="9">
        <f>'Data Sheet'!H29</f>
        <v>1190.06</v>
      </c>
      <c r="I11" s="9">
        <f>'Data Sheet'!I29</f>
        <v>2342.85</v>
      </c>
      <c r="J11" s="9">
        <f>'Data Sheet'!J29</f>
        <v>2418.2600000000002</v>
      </c>
      <c r="K11" s="9">
        <f>'Data Sheet'!K29</f>
        <v>1488.49</v>
      </c>
      <c r="L11" s="9">
        <f>SUM(Quarters!H11:K11)</f>
        <v>2158.62</v>
      </c>
      <c r="M11" s="10">
        <f>IF($L10&gt;0,$L11/$L10,0)</f>
        <v>0.22828673377229064</v>
      </c>
      <c r="N11" s="10">
        <f>IF($L10&gt;0,$L11/$L10,0)</f>
        <v>0.22828673377229064</v>
      </c>
    </row>
    <row r="12" spans="1:14" s="8" customFormat="1" x14ac:dyDescent="0.25">
      <c r="A12" s="8" t="s">
        <v>14</v>
      </c>
      <c r="B12" s="1">
        <f>'Data Sheet'!B30</f>
        <v>2478.04</v>
      </c>
      <c r="C12" s="1">
        <f>'Data Sheet'!C30</f>
        <v>2714.92</v>
      </c>
      <c r="D12" s="1">
        <f>'Data Sheet'!D30</f>
        <v>2222.17</v>
      </c>
      <c r="E12" s="1">
        <f>'Data Sheet'!E30</f>
        <v>2403.5100000000002</v>
      </c>
      <c r="F12" s="1">
        <f>'Data Sheet'!F30</f>
        <v>5755.26</v>
      </c>
      <c r="G12" s="1">
        <f>'Data Sheet'!G30</f>
        <v>5463.1</v>
      </c>
      <c r="H12" s="1">
        <f>'Data Sheet'!H30</f>
        <v>7344.31</v>
      </c>
      <c r="I12" s="1">
        <f>'Data Sheet'!I30</f>
        <v>5063.96</v>
      </c>
      <c r="J12" s="1">
        <f>'Data Sheet'!J30</f>
        <v>7005</v>
      </c>
      <c r="K12" s="1">
        <f>'Data Sheet'!K30</f>
        <v>6039.11</v>
      </c>
      <c r="L12" s="1">
        <f>SUM(Quarters!H12:K12)</f>
        <v>7298.9500000000007</v>
      </c>
      <c r="M12" s="1">
        <f>M10-M11*M10</f>
        <v>7375.2816712280983</v>
      </c>
      <c r="N12" s="1">
        <f>N10-N11*N10</f>
        <v>6201.8851558151564</v>
      </c>
    </row>
    <row r="13" spans="1:14" x14ac:dyDescent="0.25">
      <c r="A13" s="11" t="s">
        <v>57</v>
      </c>
      <c r="B13" s="9">
        <f>IF('Data Sheet'!B93&gt;0,B12/'Data Sheet'!B93,0)</f>
        <v>90.307580174927111</v>
      </c>
      <c r="C13" s="9">
        <f>IF('Data Sheet'!C93&gt;0,C12/'Data Sheet'!C93,0)</f>
        <v>98.904189435336988</v>
      </c>
      <c r="D13" s="9">
        <f>IF('Data Sheet'!D93&gt;0,D12/'Data Sheet'!D93,0)</f>
        <v>80.923889293517846</v>
      </c>
      <c r="E13" s="9">
        <f>IF('Data Sheet'!E93&gt;0,E12/'Data Sheet'!E93,0)</f>
        <v>87.527676620538969</v>
      </c>
      <c r="F13" s="9">
        <f>IF('Data Sheet'!F93&gt;0,F12/'Data Sheet'!F93,0)</f>
        <v>199.41995841995842</v>
      </c>
      <c r="G13" s="9">
        <f>IF('Data Sheet'!G93&gt;0,G12/'Data Sheet'!G93,0)</f>
        <v>189.23103567717354</v>
      </c>
      <c r="H13" s="9">
        <f>IF('Data Sheet'!H93&gt;0,H12/'Data Sheet'!H93,0)</f>
        <v>254.39244890890197</v>
      </c>
      <c r="I13" s="9">
        <f>IF('Data Sheet'!I93&gt;0,I12/'Data Sheet'!I93,0)</f>
        <v>175.40561136127468</v>
      </c>
      <c r="J13" s="9">
        <f>IF('Data Sheet'!J93&gt;0,J12/'Data Sheet'!J93,0)</f>
        <v>242.63941808105298</v>
      </c>
      <c r="K13" s="9">
        <f>IF('Data Sheet'!K93&gt;0,K12/'Data Sheet'!K93,0)</f>
        <v>204.92399049881234</v>
      </c>
      <c r="L13" s="9">
        <f>IF('Data Sheet'!$B6&gt;0,'Profit &amp; Loss'!L12/'Data Sheet'!$B6,0)</f>
        <v>247.72485676540538</v>
      </c>
      <c r="M13" s="9">
        <f>IF('Data Sheet'!$B6&gt;0,'Profit &amp; Loss'!M12/'Data Sheet'!$B6,0)</f>
        <v>250.31553793483994</v>
      </c>
      <c r="N13" s="9">
        <f>IF('Data Sheet'!$B6&gt;0,'Profit &amp; Loss'!N12/'Data Sheet'!$B6,0)</f>
        <v>210.49070234757099</v>
      </c>
    </row>
    <row r="14" spans="1:14" x14ac:dyDescent="0.25">
      <c r="A14" s="6" t="s">
        <v>16</v>
      </c>
      <c r="B14" s="9">
        <f>IF(B15&gt;0,B15/B13,"")</f>
        <v>35.752812706816677</v>
      </c>
      <c r="C14" s="9">
        <f t="shared" ref="C14:K14" si="2">IF(C15&gt;0,C15/C13,"")</f>
        <v>40.288991019993219</v>
      </c>
      <c r="D14" s="9">
        <f t="shared" si="2"/>
        <v>48.811297065481035</v>
      </c>
      <c r="E14" s="9">
        <f t="shared" si="2"/>
        <v>45.680979484171061</v>
      </c>
      <c r="F14" s="9">
        <f t="shared" si="2"/>
        <v>16.271440560461212</v>
      </c>
      <c r="G14" s="9">
        <f t="shared" si="2"/>
        <v>35.607002709084583</v>
      </c>
      <c r="H14" s="9">
        <f t="shared" si="2"/>
        <v>25.953207449031972</v>
      </c>
      <c r="I14" s="9">
        <f t="shared" si="2"/>
        <v>43.454425094195052</v>
      </c>
      <c r="J14" s="9">
        <f t="shared" si="2"/>
        <v>40.179580371163453</v>
      </c>
      <c r="K14" s="9">
        <f t="shared" si="2"/>
        <v>56.164971080175718</v>
      </c>
      <c r="L14" s="9">
        <f t="shared" ref="L14" si="3">IF(L13&gt;0,L15/L13,0)</f>
        <v>47.431655238082186</v>
      </c>
      <c r="M14" s="9">
        <f>M25</f>
        <v>47.431655238082186</v>
      </c>
      <c r="N14" s="9">
        <f>N25</f>
        <v>38.842907748295644</v>
      </c>
    </row>
    <row r="15" spans="1:14" s="8" customFormat="1" x14ac:dyDescent="0.25">
      <c r="A15" s="8" t="s">
        <v>58</v>
      </c>
      <c r="B15" s="1">
        <f>'Data Sheet'!B90</f>
        <v>3228.75</v>
      </c>
      <c r="C15" s="1">
        <f>'Data Sheet'!C90</f>
        <v>3984.75</v>
      </c>
      <c r="D15" s="1">
        <f>'Data Sheet'!D90</f>
        <v>3950</v>
      </c>
      <c r="E15" s="1">
        <f>'Data Sheet'!E90</f>
        <v>3998.35</v>
      </c>
      <c r="F15" s="1">
        <f>'Data Sheet'!F90</f>
        <v>3244.85</v>
      </c>
      <c r="G15" s="1">
        <f>'Data Sheet'!G90</f>
        <v>6737.95</v>
      </c>
      <c r="H15" s="1">
        <f>'Data Sheet'!H90</f>
        <v>6602.3</v>
      </c>
      <c r="I15" s="1">
        <f>'Data Sheet'!I90</f>
        <v>7622.15</v>
      </c>
      <c r="J15" s="1">
        <f>'Data Sheet'!J90</f>
        <v>9749.15</v>
      </c>
      <c r="K15" s="1">
        <f>'Data Sheet'!K90</f>
        <v>11509.55</v>
      </c>
      <c r="L15" s="1">
        <f>'Data Sheet'!B8</f>
        <v>11750</v>
      </c>
      <c r="M15" s="12">
        <f>M13*M14</f>
        <v>11872.880296060412</v>
      </c>
      <c r="N15" s="13">
        <f>N13*N14</f>
        <v>8176.0709331606577</v>
      </c>
    </row>
    <row r="17" spans="1:14" s="8" customFormat="1" x14ac:dyDescent="0.25">
      <c r="A17" s="8" t="s">
        <v>15</v>
      </c>
    </row>
    <row r="18" spans="1:14" x14ac:dyDescent="0.25">
      <c r="A18" s="6" t="s">
        <v>17</v>
      </c>
      <c r="B18" s="7">
        <f>IF('Data Sheet'!B30&gt;0, 'Data Sheet'!B31/'Data Sheet'!B30, 0)</f>
        <v>0.10520814837532888</v>
      </c>
      <c r="C18" s="7">
        <f>IF('Data Sheet'!C30&gt;0, 'Data Sheet'!C31/'Data Sheet'!C30, 0)</f>
        <v>0.10111163496530284</v>
      </c>
      <c r="D18" s="7">
        <f>IF('Data Sheet'!D30&gt;0, 'Data Sheet'!D31/'Data Sheet'!D30, 0)</f>
        <v>0.12975604926715775</v>
      </c>
      <c r="E18" s="7">
        <f>IF('Data Sheet'!E30&gt;0, 'Data Sheet'!E31/'Data Sheet'!E30, 0)</f>
        <v>0.13140781606899907</v>
      </c>
      <c r="F18" s="7">
        <f>IF('Data Sheet'!F30&gt;0, 'Data Sheet'!F31/'Data Sheet'!F30, 0)</f>
        <v>6.5196011995982808E-2</v>
      </c>
      <c r="G18" s="7">
        <f>IF('Data Sheet'!G30&gt;0, 'Data Sheet'!G31/'Data Sheet'!G30, 0)</f>
        <v>0.19549340118247879</v>
      </c>
      <c r="H18" s="7">
        <f>IF('Data Sheet'!H30&gt;0, 'Data Sheet'!H31/'Data Sheet'!H30, 0)</f>
        <v>0.1493605253590875</v>
      </c>
      <c r="I18" s="7">
        <f>IF('Data Sheet'!I30&gt;0, 'Data Sheet'!I31/'Data Sheet'!I30, 0)</f>
        <v>0.21663283280278675</v>
      </c>
      <c r="J18" s="7">
        <f>IF('Data Sheet'!J30&gt;0, 'Data Sheet'!J31/'Data Sheet'!J30, 0)</f>
        <v>0.28848394004282651</v>
      </c>
      <c r="K18" s="7">
        <f>IF('Data Sheet'!K30&gt;0, 'Data Sheet'!K31/'Data Sheet'!K30, 0)</f>
        <v>0.37816333863764695</v>
      </c>
    </row>
    <row r="19" spans="1:14" x14ac:dyDescent="0.25">
      <c r="A19" s="6" t="s">
        <v>18</v>
      </c>
      <c r="B19" s="7">
        <f t="shared" ref="B19:L19" si="4">IF(B6&gt;0,B6/B4,0)</f>
        <v>0.19484448126762216</v>
      </c>
      <c r="C19" s="7">
        <f t="shared" ref="C19:K19" si="5">IF(C6&gt;0,C6/C4,0)</f>
        <v>0.20541684039449956</v>
      </c>
      <c r="D19" s="7">
        <f t="shared" si="5"/>
        <v>0.19836358107623911</v>
      </c>
      <c r="E19" s="7">
        <f t="shared" si="5"/>
        <v>0.17719584026534013</v>
      </c>
      <c r="F19" s="7">
        <f t="shared" si="5"/>
        <v>0.21791171271007304</v>
      </c>
      <c r="G19" s="7">
        <f t="shared" si="5"/>
        <v>0.2586406503628777</v>
      </c>
      <c r="H19" s="7">
        <f t="shared" si="5"/>
        <v>0.21890886166099141</v>
      </c>
      <c r="I19" s="7">
        <f t="shared" si="5"/>
        <v>0.16792936999663829</v>
      </c>
      <c r="J19" s="7">
        <f t="shared" si="5"/>
        <v>0.1830334288841873</v>
      </c>
      <c r="K19" s="7">
        <f t="shared" si="5"/>
        <v>0.16847946939199512</v>
      </c>
      <c r="L19" s="7">
        <f t="shared" si="4"/>
        <v>0.18349252054432127</v>
      </c>
    </row>
    <row r="20" spans="1:14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5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5">
      <c r="A23" s="6"/>
      <c r="B23" s="6"/>
      <c r="C23" s="6"/>
      <c r="D23" s="6"/>
      <c r="E23" s="6"/>
      <c r="F23" s="6"/>
      <c r="G23" s="6" t="s">
        <v>22</v>
      </c>
      <c r="H23" s="7">
        <f>IF(B4=0,"",POWER($K4/B4,1/9)-1)</f>
        <v>0.13065274605445487</v>
      </c>
      <c r="I23" s="7">
        <f>IF(D4=0,"",POWER($K4/D4,1/7)-1)</f>
        <v>0.13669028744262413</v>
      </c>
      <c r="J23" s="7">
        <f>IF(F4=0,"",POWER($K4/F4,1/5)-1)</f>
        <v>0.12351025564154416</v>
      </c>
      <c r="K23" s="7">
        <f>IF(H4=0,"",POWER($K4/H4, 1/3)-1)</f>
        <v>0.13029986526974535</v>
      </c>
      <c r="L23" s="7">
        <f>IF(ISERROR(MAX(IF(J4=0,"",(K4-J4)/J4),IF(K4=0,"",(L4-K4)/K4))),"",MAX(IF(J4=0,"",(K4-J4)/J4),IF(K4=0,"",(L4-K4)/K4)))</f>
        <v>7.5958003099988028E-2</v>
      </c>
      <c r="M23" s="22">
        <f>MAX(K23:L23)</f>
        <v>0.13029986526974535</v>
      </c>
      <c r="N23" s="22">
        <f>MIN(H23:L23)</f>
        <v>7.5958003099988028E-2</v>
      </c>
    </row>
    <row r="24" spans="1:14" x14ac:dyDescent="0.25">
      <c r="G24" s="6" t="s">
        <v>18</v>
      </c>
      <c r="H24" s="7">
        <f>IF(SUM(B4:$K$4)=0,"",SUMPRODUCT(B19:$K$19,B4:$K$4)/SUM(B4:$K$4))</f>
        <v>0.19527001037568029</v>
      </c>
      <c r="I24" s="7">
        <f>IF(SUM(E4:$K$4)=0,"",SUMPRODUCT(E19:$K$19,E4:$K$4)/SUM(E4:$K$4))</f>
        <v>0.19439449598324934</v>
      </c>
      <c r="J24" s="7">
        <f>IF(SUM(G4:$K$4)=0,"",SUMPRODUCT(G19:$K$19,G4:$K$4)/SUM(G4:$K$4))</f>
        <v>0.19346830222424855</v>
      </c>
      <c r="K24" s="7">
        <f>IF(SUM(I4:$K$4)=0, "", SUMPRODUCT(I19:$K$19,I4:$K$4)/SUM(I4:$K$4))</f>
        <v>0.1732257354419792</v>
      </c>
      <c r="L24" s="7">
        <f>L19</f>
        <v>0.18349252054432127</v>
      </c>
      <c r="M24" s="22">
        <f>MAX(K24:L24)</f>
        <v>0.18349252054432127</v>
      </c>
      <c r="N24" s="22">
        <f>MIN(H24:L24)</f>
        <v>0.1732257354419792</v>
      </c>
    </row>
    <row r="25" spans="1:14" x14ac:dyDescent="0.25">
      <c r="G25" s="6" t="s">
        <v>23</v>
      </c>
      <c r="H25" s="9">
        <f>IF(ISERROR(AVERAGEIF(B14:$L14,"&gt;0")),"",AVERAGEIF(B14:$L14,"&gt;0"))</f>
        <v>39.599669343514194</v>
      </c>
      <c r="I25" s="9">
        <f>IF(ISERROR(AVERAGEIF(E14:$L14,"&gt;0")),"",AVERAGEIF(E14:$L14,"&gt;0"))</f>
        <v>38.842907748295644</v>
      </c>
      <c r="J25" s="9">
        <f>IF(ISERROR(AVERAGEIF(G14:$L14,"&gt;0")),"",AVERAGEIF(G14:$L14,"&gt;0"))</f>
        <v>41.465140323622158</v>
      </c>
      <c r="K25" s="9">
        <f>IF(ISERROR(AVERAGEIF(I14:$L14,"&gt;0")),"",AVERAGEIF(I14:$L14,"&gt;0"))</f>
        <v>46.807657945904104</v>
      </c>
      <c r="L25" s="9">
        <f>L14</f>
        <v>47.431655238082186</v>
      </c>
      <c r="M25" s="1">
        <f>MAX(K25:L25)</f>
        <v>47.431655238082186</v>
      </c>
      <c r="N25" s="1">
        <f>MIN(H25:L25)</f>
        <v>38.842907748295644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5546875" defaultRowHeight="15" x14ac:dyDescent="0.25"/>
  <cols>
    <col min="1" max="1" width="20.7109375" style="6" customWidth="1"/>
    <col min="2" max="11" width="13.42578125" style="6" bestFit="1" customWidth="1"/>
    <col min="12" max="16384" width="8.85546875" style="6"/>
  </cols>
  <sheetData>
    <row r="1" spans="1:11" s="8" customFormat="1" x14ac:dyDescent="0.25">
      <c r="A1" s="8" t="str">
        <f>'Profit &amp; Loss'!A1</f>
        <v>ULTRATECH CEMENT LTD</v>
      </c>
      <c r="E1" t="str">
        <f>UPDATE</f>
        <v/>
      </c>
      <c r="J1" s="4" t="s">
        <v>1</v>
      </c>
      <c r="K1" s="4"/>
    </row>
    <row r="3" spans="1:11" s="2" customFormat="1" x14ac:dyDescent="0.25">
      <c r="A3" s="15" t="s">
        <v>2</v>
      </c>
      <c r="B3" s="16">
        <f>'Data Sheet'!B41</f>
        <v>45107</v>
      </c>
      <c r="C3" s="16">
        <f>'Data Sheet'!C41</f>
        <v>45199</v>
      </c>
      <c r="D3" s="16">
        <f>'Data Sheet'!D41</f>
        <v>45291</v>
      </c>
      <c r="E3" s="16">
        <f>'Data Sheet'!E41</f>
        <v>45382</v>
      </c>
      <c r="F3" s="16">
        <f>'Data Sheet'!F41</f>
        <v>45473</v>
      </c>
      <c r="G3" s="16">
        <f>'Data Sheet'!G41</f>
        <v>45565</v>
      </c>
      <c r="H3" s="16">
        <f>'Data Sheet'!H41</f>
        <v>45657</v>
      </c>
      <c r="I3" s="16">
        <f>'Data Sheet'!I41</f>
        <v>45747</v>
      </c>
      <c r="J3" s="16">
        <f>'Data Sheet'!J41</f>
        <v>45838</v>
      </c>
      <c r="K3" s="16">
        <f>'Data Sheet'!K41</f>
        <v>45930</v>
      </c>
    </row>
    <row r="4" spans="1:11" s="8" customFormat="1" x14ac:dyDescent="0.25">
      <c r="A4" s="8" t="s">
        <v>6</v>
      </c>
      <c r="B4" s="1">
        <f>'Data Sheet'!B42</f>
        <v>17737.099999999999</v>
      </c>
      <c r="C4" s="1">
        <f>'Data Sheet'!C42</f>
        <v>16012.13</v>
      </c>
      <c r="D4" s="1">
        <f>'Data Sheet'!D42</f>
        <v>16739.97</v>
      </c>
      <c r="E4" s="1">
        <f>'Data Sheet'!E42</f>
        <v>20418.939999999999</v>
      </c>
      <c r="F4" s="1">
        <f>'Data Sheet'!F42</f>
        <v>18818.560000000001</v>
      </c>
      <c r="G4" s="1">
        <f>'Data Sheet'!G42</f>
        <v>16294.42</v>
      </c>
      <c r="H4" s="1">
        <f>'Data Sheet'!H42</f>
        <v>17778.830000000002</v>
      </c>
      <c r="I4" s="1">
        <f>'Data Sheet'!I42</f>
        <v>23063.32</v>
      </c>
      <c r="J4" s="1">
        <f>'Data Sheet'!J42</f>
        <v>21275.45</v>
      </c>
      <c r="K4" s="1">
        <f>'Data Sheet'!K42</f>
        <v>19606.93</v>
      </c>
    </row>
    <row r="5" spans="1:11" x14ac:dyDescent="0.25">
      <c r="A5" s="6" t="s">
        <v>7</v>
      </c>
      <c r="B5" s="9">
        <f>'Data Sheet'!B43</f>
        <v>14687.92</v>
      </c>
      <c r="C5" s="9">
        <f>'Data Sheet'!C43</f>
        <v>13461.24</v>
      </c>
      <c r="D5" s="9">
        <f>'Data Sheet'!D43</f>
        <v>13485.4</v>
      </c>
      <c r="E5" s="9">
        <f>'Data Sheet'!E43</f>
        <v>16305.02</v>
      </c>
      <c r="F5" s="9">
        <f>'Data Sheet'!F43</f>
        <v>15801.46</v>
      </c>
      <c r="G5" s="9">
        <f>'Data Sheet'!G43</f>
        <v>14268.68</v>
      </c>
      <c r="H5" s="9">
        <f>'Data Sheet'!H43</f>
        <v>14885.35</v>
      </c>
      <c r="I5" s="9">
        <f>'Data Sheet'!I43</f>
        <v>18455.650000000001</v>
      </c>
      <c r="J5" s="9">
        <f>'Data Sheet'!J43</f>
        <v>16869.419999999998</v>
      </c>
      <c r="K5" s="9">
        <f>'Data Sheet'!K43</f>
        <v>16518.27</v>
      </c>
    </row>
    <row r="6" spans="1:11" s="8" customFormat="1" x14ac:dyDescent="0.25">
      <c r="A6" s="8" t="s">
        <v>8</v>
      </c>
      <c r="B6" s="1">
        <f>'Data Sheet'!B50</f>
        <v>3049.18</v>
      </c>
      <c r="C6" s="1">
        <f>'Data Sheet'!C50</f>
        <v>2550.89</v>
      </c>
      <c r="D6" s="1">
        <f>'Data Sheet'!D50</f>
        <v>3254.57</v>
      </c>
      <c r="E6" s="1">
        <f>'Data Sheet'!E50</f>
        <v>4113.92</v>
      </c>
      <c r="F6" s="1">
        <f>'Data Sheet'!F50</f>
        <v>3017.1</v>
      </c>
      <c r="G6" s="1">
        <f>'Data Sheet'!G50</f>
        <v>2025.74</v>
      </c>
      <c r="H6" s="1">
        <f>'Data Sheet'!H50</f>
        <v>2893.48</v>
      </c>
      <c r="I6" s="1">
        <f>'Data Sheet'!I50</f>
        <v>4607.67</v>
      </c>
      <c r="J6" s="1">
        <f>'Data Sheet'!J50</f>
        <v>4406.03</v>
      </c>
      <c r="K6" s="1">
        <f>'Data Sheet'!K50</f>
        <v>3088.66</v>
      </c>
    </row>
    <row r="7" spans="1:11" x14ac:dyDescent="0.25">
      <c r="A7" s="6" t="s">
        <v>9</v>
      </c>
      <c r="B7" s="9">
        <f>'Data Sheet'!B44</f>
        <v>177.43</v>
      </c>
      <c r="C7" s="9">
        <f>'Data Sheet'!C44</f>
        <v>170.62</v>
      </c>
      <c r="D7" s="9">
        <f>'Data Sheet'!D44</f>
        <v>146.24</v>
      </c>
      <c r="E7" s="9">
        <f>'Data Sheet'!E44</f>
        <v>72.67</v>
      </c>
      <c r="F7" s="9">
        <f>'Data Sheet'!F44</f>
        <v>83.31</v>
      </c>
      <c r="G7" s="9">
        <f>'Data Sheet'!G44</f>
        <v>226.22</v>
      </c>
      <c r="H7" s="9">
        <f>'Data Sheet'!H44</f>
        <v>247.32</v>
      </c>
      <c r="I7" s="9">
        <f>'Data Sheet'!I44</f>
        <v>92.78</v>
      </c>
      <c r="J7" s="9">
        <f>'Data Sheet'!J44</f>
        <v>141.85</v>
      </c>
      <c r="K7" s="9">
        <f>'Data Sheet'!K44</f>
        <v>174.14</v>
      </c>
    </row>
    <row r="8" spans="1:11" x14ac:dyDescent="0.25">
      <c r="A8" s="6" t="s">
        <v>10</v>
      </c>
      <c r="B8" s="9">
        <f>'Data Sheet'!B45</f>
        <v>749.07</v>
      </c>
      <c r="C8" s="9">
        <f>'Data Sheet'!C45</f>
        <v>797.83</v>
      </c>
      <c r="D8" s="9">
        <f>'Data Sheet'!D45</f>
        <v>783.48</v>
      </c>
      <c r="E8" s="9">
        <f>'Data Sheet'!E45</f>
        <v>814.92</v>
      </c>
      <c r="F8" s="9">
        <f>'Data Sheet'!F45</f>
        <v>917.93</v>
      </c>
      <c r="G8" s="9">
        <f>'Data Sheet'!G45</f>
        <v>979.67</v>
      </c>
      <c r="H8" s="9">
        <f>'Data Sheet'!H45</f>
        <v>992.78</v>
      </c>
      <c r="I8" s="9">
        <f>'Data Sheet'!I45</f>
        <v>1124.57</v>
      </c>
      <c r="J8" s="9">
        <f>'Data Sheet'!J45</f>
        <v>1106.78</v>
      </c>
      <c r="K8" s="9">
        <f>'Data Sheet'!K45</f>
        <v>1147.68</v>
      </c>
    </row>
    <row r="9" spans="1:11" x14ac:dyDescent="0.25">
      <c r="A9" s="6" t="s">
        <v>11</v>
      </c>
      <c r="B9" s="9">
        <f>'Data Sheet'!B46</f>
        <v>210.75</v>
      </c>
      <c r="C9" s="9">
        <f>'Data Sheet'!C46</f>
        <v>233.94</v>
      </c>
      <c r="D9" s="9">
        <f>'Data Sheet'!D46</f>
        <v>262.16000000000003</v>
      </c>
      <c r="E9" s="9">
        <f>'Data Sheet'!E46</f>
        <v>261.14999999999998</v>
      </c>
      <c r="F9" s="9">
        <f>'Data Sheet'!F46</f>
        <v>325.76</v>
      </c>
      <c r="G9" s="9">
        <f>'Data Sheet'!G46</f>
        <v>392.99</v>
      </c>
      <c r="H9" s="9">
        <f>'Data Sheet'!H46</f>
        <v>456.75</v>
      </c>
      <c r="I9" s="9">
        <f>'Data Sheet'!I46</f>
        <v>475.04</v>
      </c>
      <c r="J9" s="9">
        <f>'Data Sheet'!J46</f>
        <v>433.3</v>
      </c>
      <c r="K9" s="9">
        <f>'Data Sheet'!K46</f>
        <v>459.29</v>
      </c>
    </row>
    <row r="10" spans="1:11" x14ac:dyDescent="0.25">
      <c r="A10" s="6" t="s">
        <v>12</v>
      </c>
      <c r="B10" s="9">
        <f>'Data Sheet'!B47</f>
        <v>2266.79</v>
      </c>
      <c r="C10" s="9">
        <f>'Data Sheet'!C47</f>
        <v>1689.74</v>
      </c>
      <c r="D10" s="9">
        <f>'Data Sheet'!D47</f>
        <v>2355.17</v>
      </c>
      <c r="E10" s="9">
        <f>'Data Sheet'!E47</f>
        <v>3110.52</v>
      </c>
      <c r="F10" s="9">
        <f>'Data Sheet'!F47</f>
        <v>1856.72</v>
      </c>
      <c r="G10" s="9">
        <f>'Data Sheet'!G47</f>
        <v>879.3</v>
      </c>
      <c r="H10" s="9">
        <f>'Data Sheet'!H47</f>
        <v>1691.27</v>
      </c>
      <c r="I10" s="9">
        <f>'Data Sheet'!I47</f>
        <v>3100.84</v>
      </c>
      <c r="J10" s="9">
        <f>'Data Sheet'!J47</f>
        <v>3007.8</v>
      </c>
      <c r="K10" s="9">
        <f>'Data Sheet'!K47</f>
        <v>1655.83</v>
      </c>
    </row>
    <row r="11" spans="1:11" x14ac:dyDescent="0.25">
      <c r="A11" s="6" t="s">
        <v>13</v>
      </c>
      <c r="B11" s="9">
        <f>'Data Sheet'!B48</f>
        <v>576.57000000000005</v>
      </c>
      <c r="C11" s="9">
        <f>'Data Sheet'!C48</f>
        <v>409.36</v>
      </c>
      <c r="D11" s="9">
        <f>'Data Sheet'!D48</f>
        <v>580.39</v>
      </c>
      <c r="E11" s="9">
        <f>'Data Sheet'!E48</f>
        <v>851.94</v>
      </c>
      <c r="F11" s="9">
        <f>'Data Sheet'!F48</f>
        <v>363.27</v>
      </c>
      <c r="G11" s="9">
        <f>'Data Sheet'!G48</f>
        <v>171.34</v>
      </c>
      <c r="H11" s="9">
        <f>'Data Sheet'!H48</f>
        <v>327.83</v>
      </c>
      <c r="I11" s="9">
        <f>'Data Sheet'!I48</f>
        <v>626.04999999999995</v>
      </c>
      <c r="J11" s="9">
        <f>'Data Sheet'!J48</f>
        <v>786.89</v>
      </c>
      <c r="K11" s="9">
        <f>'Data Sheet'!K48</f>
        <v>417.85</v>
      </c>
    </row>
    <row r="12" spans="1:11" s="8" customFormat="1" x14ac:dyDescent="0.25">
      <c r="A12" s="8" t="s">
        <v>14</v>
      </c>
      <c r="B12" s="1">
        <f>'Data Sheet'!B49</f>
        <v>1688.45</v>
      </c>
      <c r="C12" s="1">
        <f>'Data Sheet'!C49</f>
        <v>1281.45</v>
      </c>
      <c r="D12" s="1">
        <f>'Data Sheet'!D49</f>
        <v>1776.98</v>
      </c>
      <c r="E12" s="1">
        <f>'Data Sheet'!E49</f>
        <v>2258.12</v>
      </c>
      <c r="F12" s="1">
        <f>'Data Sheet'!F49</f>
        <v>1494.82</v>
      </c>
      <c r="G12" s="1">
        <f>'Data Sheet'!G49</f>
        <v>702.82</v>
      </c>
      <c r="H12" s="1">
        <f>'Data Sheet'!H49</f>
        <v>1359.43</v>
      </c>
      <c r="I12" s="1">
        <f>'Data Sheet'!I49</f>
        <v>2482.04</v>
      </c>
      <c r="J12" s="1">
        <f>'Data Sheet'!J49</f>
        <v>2225.9</v>
      </c>
      <c r="K12" s="1">
        <f>'Data Sheet'!K49</f>
        <v>1231.58</v>
      </c>
    </row>
    <row r="14" spans="1:11" s="8" customFormat="1" x14ac:dyDescent="0.25">
      <c r="A14" s="2" t="s">
        <v>18</v>
      </c>
      <c r="B14" s="14">
        <f>IF(B4&gt;0,B6/B4,"")</f>
        <v>0.17190972594167028</v>
      </c>
      <c r="C14" s="14">
        <f t="shared" ref="C14:K14" si="0">IF(C4&gt;0,C6/C4,"")</f>
        <v>0.15930984822131722</v>
      </c>
      <c r="D14" s="14">
        <f t="shared" si="0"/>
        <v>0.19441910588848127</v>
      </c>
      <c r="E14" s="14">
        <f t="shared" si="0"/>
        <v>0.20147568874779986</v>
      </c>
      <c r="F14" s="14">
        <f t="shared" si="0"/>
        <v>0.16032576350156438</v>
      </c>
      <c r="G14" s="14">
        <f t="shared" si="0"/>
        <v>0.12432108660510777</v>
      </c>
      <c r="H14" s="14">
        <f t="shared" si="0"/>
        <v>0.16274861731621257</v>
      </c>
      <c r="I14" s="14">
        <f t="shared" si="0"/>
        <v>0.19978346569357752</v>
      </c>
      <c r="J14" s="14">
        <f t="shared" si="0"/>
        <v>0.20709456204216595</v>
      </c>
      <c r="K14" s="14">
        <f t="shared" si="0"/>
        <v>0.15752899612534954</v>
      </c>
    </row>
    <row r="22" s="30" customFormat="1" x14ac:dyDescent="0.25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85546875" defaultRowHeight="15" x14ac:dyDescent="0.25"/>
  <cols>
    <col min="1" max="1" width="22.85546875" style="11" bestFit="1" customWidth="1"/>
    <col min="2" max="2" width="13.42578125" style="11" customWidth="1"/>
    <col min="3" max="11" width="15.42578125" style="11" customWidth="1"/>
    <col min="12" max="16384" width="8.85546875" style="11"/>
  </cols>
  <sheetData>
    <row r="1" spans="1:11" s="8" customFormat="1" x14ac:dyDescent="0.25">
      <c r="A1" s="8" t="str">
        <f>'Profit &amp; Loss'!A1</f>
        <v>ULTRATECH CEMENT LTD</v>
      </c>
      <c r="E1" t="str">
        <f>UPDATE</f>
        <v/>
      </c>
      <c r="G1"/>
      <c r="J1" s="4" t="s">
        <v>1</v>
      </c>
      <c r="K1" s="4"/>
    </row>
    <row r="2" spans="1:11" x14ac:dyDescent="0.25">
      <c r="G2" s="8"/>
      <c r="H2" s="8"/>
    </row>
    <row r="3" spans="1:11" s="18" customFormat="1" x14ac:dyDescent="0.25">
      <c r="A3" s="15" t="s">
        <v>2</v>
      </c>
      <c r="B3" s="16">
        <f>'Data Sheet'!B56</f>
        <v>42460</v>
      </c>
      <c r="C3" s="16">
        <f>'Data Sheet'!C56</f>
        <v>42825</v>
      </c>
      <c r="D3" s="16">
        <f>'Data Sheet'!D56</f>
        <v>43190</v>
      </c>
      <c r="E3" s="16">
        <f>'Data Sheet'!E56</f>
        <v>43555</v>
      </c>
      <c r="F3" s="16">
        <f>'Data Sheet'!F56</f>
        <v>43921</v>
      </c>
      <c r="G3" s="16">
        <f>'Data Sheet'!G56</f>
        <v>44286</v>
      </c>
      <c r="H3" s="16">
        <f>'Data Sheet'!H56</f>
        <v>44651</v>
      </c>
      <c r="I3" s="16">
        <f>'Data Sheet'!I56</f>
        <v>45016</v>
      </c>
      <c r="J3" s="16">
        <f>'Data Sheet'!J56</f>
        <v>45382</v>
      </c>
      <c r="K3" s="16">
        <f>'Data Sheet'!K56</f>
        <v>45747</v>
      </c>
    </row>
    <row r="4" spans="1:11" x14ac:dyDescent="0.25">
      <c r="A4" s="6" t="s">
        <v>24</v>
      </c>
      <c r="B4" s="19">
        <f>'Data Sheet'!B57</f>
        <v>274.43</v>
      </c>
      <c r="C4" s="19">
        <f>'Data Sheet'!C57</f>
        <v>274.51</v>
      </c>
      <c r="D4" s="19">
        <f>'Data Sheet'!D57</f>
        <v>274.61</v>
      </c>
      <c r="E4" s="19">
        <f>'Data Sheet'!E57</f>
        <v>274.64</v>
      </c>
      <c r="F4" s="19">
        <f>'Data Sheet'!F57</f>
        <v>288.63</v>
      </c>
      <c r="G4" s="19">
        <f>'Data Sheet'!G57</f>
        <v>288.64999999999998</v>
      </c>
      <c r="H4" s="19">
        <f>'Data Sheet'!H57</f>
        <v>288.67</v>
      </c>
      <c r="I4" s="19">
        <f>'Data Sheet'!I57</f>
        <v>288.69</v>
      </c>
      <c r="J4" s="19">
        <f>'Data Sheet'!J57</f>
        <v>288.69</v>
      </c>
      <c r="K4" s="19">
        <f>'Data Sheet'!K57</f>
        <v>294.68</v>
      </c>
    </row>
    <row r="5" spans="1:11" s="6" customFormat="1" x14ac:dyDescent="0.25">
      <c r="A5" s="6" t="s">
        <v>25</v>
      </c>
      <c r="B5" s="19">
        <f>'Data Sheet'!B58</f>
        <v>21671.200000000001</v>
      </c>
      <c r="C5" s="19">
        <f>'Data Sheet'!C58</f>
        <v>24117.38</v>
      </c>
      <c r="D5" s="19">
        <f>'Data Sheet'!D58</f>
        <v>26106.55</v>
      </c>
      <c r="E5" s="19">
        <f>'Data Sheet'!E58</f>
        <v>33476.01</v>
      </c>
      <c r="F5" s="19">
        <f>'Data Sheet'!F58</f>
        <v>38755.129999999997</v>
      </c>
      <c r="G5" s="19">
        <f>'Data Sheet'!G58</f>
        <v>43886.03</v>
      </c>
      <c r="H5" s="19">
        <f>'Data Sheet'!H58</f>
        <v>50146.6</v>
      </c>
      <c r="I5" s="19">
        <f>'Data Sheet'!I58</f>
        <v>54035.85</v>
      </c>
      <c r="J5" s="19">
        <f>'Data Sheet'!J58</f>
        <v>59938.79</v>
      </c>
      <c r="K5" s="19">
        <f>'Data Sheet'!K58</f>
        <v>70412.09</v>
      </c>
    </row>
    <row r="6" spans="1:11" x14ac:dyDescent="0.25">
      <c r="A6" s="11" t="s">
        <v>71</v>
      </c>
      <c r="B6" s="19">
        <f>'Data Sheet'!B59</f>
        <v>10615.99</v>
      </c>
      <c r="C6" s="19">
        <f>'Data Sheet'!C59</f>
        <v>8474.49</v>
      </c>
      <c r="D6" s="19">
        <f>'Data Sheet'!D59</f>
        <v>19480.22</v>
      </c>
      <c r="E6" s="19">
        <f>'Data Sheet'!E59</f>
        <v>25337</v>
      </c>
      <c r="F6" s="19">
        <f>'Data Sheet'!F59</f>
        <v>23018.959999999999</v>
      </c>
      <c r="G6" s="19">
        <f>'Data Sheet'!G59</f>
        <v>21719.39</v>
      </c>
      <c r="H6" s="19">
        <f>'Data Sheet'!H59</f>
        <v>11298.8</v>
      </c>
      <c r="I6" s="19">
        <f>'Data Sheet'!I59</f>
        <v>11057.74</v>
      </c>
      <c r="J6" s="19">
        <f>'Data Sheet'!J59</f>
        <v>11402.95</v>
      </c>
      <c r="K6" s="19">
        <f>'Data Sheet'!K59</f>
        <v>24102.18</v>
      </c>
    </row>
    <row r="7" spans="1:11" s="6" customFormat="1" x14ac:dyDescent="0.25">
      <c r="A7" s="11" t="s">
        <v>72</v>
      </c>
      <c r="B7" s="19">
        <f>'Data Sheet'!B60</f>
        <v>8631.49</v>
      </c>
      <c r="C7" s="19">
        <f>'Data Sheet'!C60</f>
        <v>9342.73</v>
      </c>
      <c r="D7" s="19">
        <f>'Data Sheet'!D60</f>
        <v>11279.71</v>
      </c>
      <c r="E7" s="19">
        <f>'Data Sheet'!E60</f>
        <v>17437.72</v>
      </c>
      <c r="F7" s="19">
        <f>'Data Sheet'!F60</f>
        <v>17151.09</v>
      </c>
      <c r="G7" s="19">
        <f>'Data Sheet'!G60</f>
        <v>20282.28</v>
      </c>
      <c r="H7" s="19">
        <f>'Data Sheet'!H60</f>
        <v>22077.37</v>
      </c>
      <c r="I7" s="19">
        <f>'Data Sheet'!I60</f>
        <v>25998.12</v>
      </c>
      <c r="J7" s="19">
        <f>'Data Sheet'!J60</f>
        <v>29166.68</v>
      </c>
      <c r="K7" s="19">
        <f>'Data Sheet'!K60</f>
        <v>38823.11</v>
      </c>
    </row>
    <row r="8" spans="1:11" s="8" customFormat="1" x14ac:dyDescent="0.25">
      <c r="A8" s="8" t="s">
        <v>26</v>
      </c>
      <c r="B8" s="20">
        <f>'Data Sheet'!B61</f>
        <v>41193.11</v>
      </c>
      <c r="C8" s="20">
        <f>'Data Sheet'!C61</f>
        <v>42209.11</v>
      </c>
      <c r="D8" s="20">
        <f>'Data Sheet'!D61</f>
        <v>57141.09</v>
      </c>
      <c r="E8" s="20">
        <f>'Data Sheet'!E61</f>
        <v>76525.37</v>
      </c>
      <c r="F8" s="20">
        <f>'Data Sheet'!F61</f>
        <v>79213.81</v>
      </c>
      <c r="G8" s="20">
        <f>'Data Sheet'!G61</f>
        <v>86176.35</v>
      </c>
      <c r="H8" s="20">
        <f>'Data Sheet'!H61</f>
        <v>83811.44</v>
      </c>
      <c r="I8" s="20">
        <f>'Data Sheet'!I61</f>
        <v>91380.4</v>
      </c>
      <c r="J8" s="20">
        <f>'Data Sheet'!J61</f>
        <v>100797.11</v>
      </c>
      <c r="K8" s="20">
        <f>'Data Sheet'!K61</f>
        <v>133632.06</v>
      </c>
    </row>
    <row r="9" spans="1:11" s="8" customFormat="1" x14ac:dyDescent="0.25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5">
      <c r="A10" s="6" t="s">
        <v>27</v>
      </c>
      <c r="B10" s="19">
        <f>'Data Sheet'!B62</f>
        <v>25309.42</v>
      </c>
      <c r="C10" s="19">
        <f>'Data Sheet'!C62</f>
        <v>25903.75</v>
      </c>
      <c r="D10" s="19">
        <f>'Data Sheet'!D62</f>
        <v>39715.300000000003</v>
      </c>
      <c r="E10" s="19">
        <f>'Data Sheet'!E62</f>
        <v>56644.62</v>
      </c>
      <c r="F10" s="19">
        <f>'Data Sheet'!F62</f>
        <v>57150.96</v>
      </c>
      <c r="G10" s="19">
        <f>'Data Sheet'!G62</f>
        <v>55411.61</v>
      </c>
      <c r="H10" s="19">
        <f>'Data Sheet'!H62</f>
        <v>55487.57</v>
      </c>
      <c r="I10" s="19">
        <f>'Data Sheet'!I62</f>
        <v>59579</v>
      </c>
      <c r="J10" s="19">
        <f>'Data Sheet'!J62</f>
        <v>62877.61</v>
      </c>
      <c r="K10" s="19">
        <f>'Data Sheet'!K62</f>
        <v>94564.22</v>
      </c>
    </row>
    <row r="11" spans="1:11" x14ac:dyDescent="0.25">
      <c r="A11" s="6" t="s">
        <v>28</v>
      </c>
      <c r="B11" s="19">
        <f>'Data Sheet'!B63</f>
        <v>1469.09</v>
      </c>
      <c r="C11" s="19">
        <f>'Data Sheet'!C63</f>
        <v>921.48</v>
      </c>
      <c r="D11" s="19">
        <f>'Data Sheet'!D63</f>
        <v>1511.21</v>
      </c>
      <c r="E11" s="19">
        <f>'Data Sheet'!E63</f>
        <v>1153.32</v>
      </c>
      <c r="F11" s="19">
        <f>'Data Sheet'!F63</f>
        <v>919.59</v>
      </c>
      <c r="G11" s="19">
        <f>'Data Sheet'!G63</f>
        <v>1686.68</v>
      </c>
      <c r="H11" s="19">
        <f>'Data Sheet'!H63</f>
        <v>4784.67</v>
      </c>
      <c r="I11" s="19">
        <f>'Data Sheet'!I63</f>
        <v>4040.39</v>
      </c>
      <c r="J11" s="19">
        <f>'Data Sheet'!J63</f>
        <v>6811.18</v>
      </c>
      <c r="K11" s="19">
        <f>'Data Sheet'!K63</f>
        <v>6234.19</v>
      </c>
    </row>
    <row r="12" spans="1:11" x14ac:dyDescent="0.25">
      <c r="A12" s="6" t="s">
        <v>29</v>
      </c>
      <c r="B12" s="19">
        <f>'Data Sheet'!B64</f>
        <v>5095.18</v>
      </c>
      <c r="C12" s="19">
        <f>'Data Sheet'!C64</f>
        <v>6690.51</v>
      </c>
      <c r="D12" s="19">
        <f>'Data Sheet'!D64</f>
        <v>5446.9</v>
      </c>
      <c r="E12" s="19">
        <f>'Data Sheet'!E64</f>
        <v>2921.33</v>
      </c>
      <c r="F12" s="19">
        <f>'Data Sheet'!F64</f>
        <v>5928.69</v>
      </c>
      <c r="G12" s="19">
        <f>'Data Sheet'!G64</f>
        <v>12178.11</v>
      </c>
      <c r="H12" s="19">
        <f>'Data Sheet'!H64</f>
        <v>6335.77</v>
      </c>
      <c r="I12" s="19">
        <f>'Data Sheet'!I64</f>
        <v>7296.95</v>
      </c>
      <c r="J12" s="19">
        <f>'Data Sheet'!J64</f>
        <v>8248.9500000000007</v>
      </c>
      <c r="K12" s="19">
        <f>'Data Sheet'!K64</f>
        <v>5156.47</v>
      </c>
    </row>
    <row r="13" spans="1:11" x14ac:dyDescent="0.25">
      <c r="A13" s="11" t="s">
        <v>73</v>
      </c>
      <c r="B13" s="19">
        <f>'Data Sheet'!B65</f>
        <v>9319.42</v>
      </c>
      <c r="C13" s="19">
        <f>'Data Sheet'!C65</f>
        <v>8693.3700000000008</v>
      </c>
      <c r="D13" s="19">
        <f>'Data Sheet'!D65</f>
        <v>10467.68</v>
      </c>
      <c r="E13" s="19">
        <f>'Data Sheet'!E65</f>
        <v>15806.1</v>
      </c>
      <c r="F13" s="19">
        <f>'Data Sheet'!F65</f>
        <v>15214.57</v>
      </c>
      <c r="G13" s="19">
        <f>'Data Sheet'!G65</f>
        <v>16899.95</v>
      </c>
      <c r="H13" s="19">
        <f>'Data Sheet'!H65</f>
        <v>17203.43</v>
      </c>
      <c r="I13" s="19">
        <f>'Data Sheet'!I65</f>
        <v>20464.060000000001</v>
      </c>
      <c r="J13" s="19">
        <f>'Data Sheet'!J65</f>
        <v>22859.37</v>
      </c>
      <c r="K13" s="19">
        <f>'Data Sheet'!K65</f>
        <v>27677.18</v>
      </c>
    </row>
    <row r="14" spans="1:11" s="8" customFormat="1" x14ac:dyDescent="0.25">
      <c r="A14" s="8" t="s">
        <v>26</v>
      </c>
      <c r="B14" s="19">
        <f>'Data Sheet'!B66</f>
        <v>41193.11</v>
      </c>
      <c r="C14" s="19">
        <f>'Data Sheet'!C66</f>
        <v>42209.11</v>
      </c>
      <c r="D14" s="19">
        <f>'Data Sheet'!D66</f>
        <v>57141.09</v>
      </c>
      <c r="E14" s="19">
        <f>'Data Sheet'!E66</f>
        <v>76525.37</v>
      </c>
      <c r="F14" s="19">
        <f>'Data Sheet'!F66</f>
        <v>79213.81</v>
      </c>
      <c r="G14" s="19">
        <f>'Data Sheet'!G66</f>
        <v>86176.35</v>
      </c>
      <c r="H14" s="19">
        <f>'Data Sheet'!H66</f>
        <v>83811.44</v>
      </c>
      <c r="I14" s="19">
        <f>'Data Sheet'!I66</f>
        <v>91380.4</v>
      </c>
      <c r="J14" s="19">
        <f>'Data Sheet'!J66</f>
        <v>100797.11</v>
      </c>
      <c r="K14" s="19">
        <f>'Data Sheet'!K66</f>
        <v>133632.06</v>
      </c>
    </row>
    <row r="15" spans="1:11" x14ac:dyDescent="0.25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5">
      <c r="A16" s="29" t="s">
        <v>30</v>
      </c>
      <c r="B16" s="21">
        <f>B13-B7</f>
        <v>687.93000000000029</v>
      </c>
      <c r="C16" s="21">
        <f t="shared" ref="C16:K16" si="0">C13-C7</f>
        <v>-649.35999999999876</v>
      </c>
      <c r="D16" s="21">
        <f t="shared" si="0"/>
        <v>-812.02999999999884</v>
      </c>
      <c r="E16" s="21">
        <f t="shared" si="0"/>
        <v>-1631.6200000000008</v>
      </c>
      <c r="F16" s="21">
        <f t="shared" si="0"/>
        <v>-1936.5200000000004</v>
      </c>
      <c r="G16" s="21">
        <f t="shared" si="0"/>
        <v>-3382.3299999999981</v>
      </c>
      <c r="H16" s="21">
        <f t="shared" si="0"/>
        <v>-4873.9399999999987</v>
      </c>
      <c r="I16" s="21">
        <f t="shared" si="0"/>
        <v>-5534.0599999999977</v>
      </c>
      <c r="J16" s="21">
        <f t="shared" si="0"/>
        <v>-6307.3100000000013</v>
      </c>
      <c r="K16" s="21">
        <f t="shared" si="0"/>
        <v>-11145.93</v>
      </c>
    </row>
    <row r="17" spans="1:11" x14ac:dyDescent="0.25">
      <c r="A17" s="11" t="s">
        <v>44</v>
      </c>
      <c r="B17" s="21">
        <f>'Data Sheet'!B67</f>
        <v>1928.21</v>
      </c>
      <c r="C17" s="21">
        <f>'Data Sheet'!C67</f>
        <v>1757.09</v>
      </c>
      <c r="D17" s="21">
        <f>'Data Sheet'!D67</f>
        <v>2220.63</v>
      </c>
      <c r="E17" s="21">
        <f>'Data Sheet'!E67</f>
        <v>2787.03</v>
      </c>
      <c r="F17" s="21">
        <f>'Data Sheet'!F67</f>
        <v>2383.2199999999998</v>
      </c>
      <c r="G17" s="21">
        <f>'Data Sheet'!G67</f>
        <v>2571.73</v>
      </c>
      <c r="H17" s="21">
        <f>'Data Sheet'!H67</f>
        <v>3071.61</v>
      </c>
      <c r="I17" s="21">
        <f>'Data Sheet'!I67</f>
        <v>3867.02</v>
      </c>
      <c r="J17" s="21">
        <f>'Data Sheet'!J67</f>
        <v>4278.16</v>
      </c>
      <c r="K17" s="21">
        <f>'Data Sheet'!K67</f>
        <v>5890.25</v>
      </c>
    </row>
    <row r="18" spans="1:11" x14ac:dyDescent="0.25">
      <c r="A18" s="11" t="s">
        <v>45</v>
      </c>
      <c r="B18" s="21">
        <f>'Data Sheet'!B68</f>
        <v>2454.58</v>
      </c>
      <c r="C18" s="21">
        <f>'Data Sheet'!C68</f>
        <v>2400.64</v>
      </c>
      <c r="D18" s="21">
        <f>'Data Sheet'!D68</f>
        <v>3267.59</v>
      </c>
      <c r="E18" s="21">
        <f>'Data Sheet'!E68</f>
        <v>4098.96</v>
      </c>
      <c r="F18" s="21">
        <f>'Data Sheet'!F68</f>
        <v>4183.3500000000004</v>
      </c>
      <c r="G18" s="21">
        <f>'Data Sheet'!G68</f>
        <v>4017.97</v>
      </c>
      <c r="H18" s="21">
        <f>'Data Sheet'!H68</f>
        <v>5595.58</v>
      </c>
      <c r="I18" s="21">
        <f>'Data Sheet'!I68</f>
        <v>6611.83</v>
      </c>
      <c r="J18" s="21">
        <f>'Data Sheet'!J68</f>
        <v>8329.74</v>
      </c>
      <c r="K18" s="21">
        <f>'Data Sheet'!K68</f>
        <v>9562.98</v>
      </c>
    </row>
    <row r="20" spans="1:11" x14ac:dyDescent="0.25">
      <c r="A20" s="11" t="s">
        <v>46</v>
      </c>
      <c r="B20" s="5">
        <f>IF('Profit &amp; Loss'!B4&gt;0,'Balance Sheet'!B17/('Profit &amp; Loss'!B4/365),0)</f>
        <v>27.980357600054703</v>
      </c>
      <c r="C20" s="5">
        <f>IF('Profit &amp; Loss'!C4&gt;0,'Balance Sheet'!C17/('Profit &amp; Loss'!C4/365),0)</f>
        <v>25.274457791821384</v>
      </c>
      <c r="D20" s="5">
        <f>IF('Profit &amp; Loss'!D4&gt;0,'Balance Sheet'!D17/('Profit &amp; Loss'!D4/365),0)</f>
        <v>26.164172258157404</v>
      </c>
      <c r="E20" s="5">
        <f>IF('Profit &amp; Loss'!E4&gt;0,'Balance Sheet'!E17/('Profit &amp; Loss'!E4/365),0)</f>
        <v>24.534744367528447</v>
      </c>
      <c r="F20" s="5">
        <f>IF('Profit &amp; Loss'!F4&gt;0,'Balance Sheet'!F17/('Profit &amp; Loss'!F4/365),0)</f>
        <v>20.501474314451439</v>
      </c>
      <c r="G20" s="5">
        <f>IF('Profit &amp; Loss'!G4&gt;0,'Balance Sheet'!G17/('Profit &amp; Loss'!G4/365),0)</f>
        <v>20.98747143706764</v>
      </c>
      <c r="H20" s="5">
        <f>IF('Profit &amp; Loss'!H4&gt;0,'Balance Sheet'!H17/('Profit &amp; Loss'!H4/365),0)</f>
        <v>21.314878106604272</v>
      </c>
      <c r="I20" s="5">
        <f>IF('Profit &amp; Loss'!I4&gt;0,'Balance Sheet'!I17/('Profit &amp; Loss'!I4/365),0)</f>
        <v>22.319145262221777</v>
      </c>
      <c r="J20" s="5">
        <f>IF('Profit &amp; Loss'!J4&gt;0,'Balance Sheet'!J17/('Profit &amp; Loss'!J4/365),0)</f>
        <v>22.021849677625163</v>
      </c>
      <c r="K20" s="5">
        <f>IF('Profit &amp; Loss'!K4&gt;0,'Balance Sheet'!K17/('Profit &amp; Loss'!K4/365),0)</f>
        <v>28.305412024177954</v>
      </c>
    </row>
    <row r="21" spans="1:11" x14ac:dyDescent="0.25">
      <c r="A21" s="11" t="s">
        <v>47</v>
      </c>
      <c r="B21" s="5">
        <f>IF('Balance Sheet'!B18&gt;0,'Profit &amp; Loss'!B4/'Balance Sheet'!B18,0)</f>
        <v>10.247472072615276</v>
      </c>
      <c r="C21" s="5">
        <f>IF('Balance Sheet'!C18&gt;0,'Profit &amp; Loss'!C4/'Balance Sheet'!C18,0)</f>
        <v>10.570072980538523</v>
      </c>
      <c r="D21" s="5">
        <f>IF('Balance Sheet'!D18&gt;0,'Profit &amp; Loss'!D4/'Balance Sheet'!D18,0)</f>
        <v>9.4805713079058265</v>
      </c>
      <c r="E21" s="5">
        <f>IF('Balance Sheet'!E18&gt;0,'Profit &amp; Loss'!E4/'Balance Sheet'!E18,0)</f>
        <v>10.115312176747272</v>
      </c>
      <c r="F21" s="5">
        <f>IF('Balance Sheet'!F18&gt;0,'Profit &amp; Loss'!F4/'Balance Sheet'!F18,0)</f>
        <v>10.142562778634346</v>
      </c>
      <c r="G21" s="5">
        <f>IF('Balance Sheet'!G18&gt;0,'Profit &amp; Loss'!G4/'Balance Sheet'!G18,0)</f>
        <v>11.131441996829246</v>
      </c>
      <c r="H21" s="5">
        <f>IF('Balance Sheet'!H18&gt;0,'Profit &amp; Loss'!H4/'Balance Sheet'!H18,0)</f>
        <v>9.4000675533188698</v>
      </c>
      <c r="I21" s="5">
        <f>IF('Balance Sheet'!I18&gt;0,'Profit &amp; Loss'!I4/'Balance Sheet'!I18,0)</f>
        <v>9.5646712029801133</v>
      </c>
      <c r="J21" s="5">
        <f>IF('Balance Sheet'!J18&gt;0,'Profit &amp; Loss'!J4/'Balance Sheet'!J18,0)</f>
        <v>8.5126474535819838</v>
      </c>
      <c r="K21" s="5">
        <f>IF('Balance Sheet'!K18&gt;0,'Profit &amp; Loss'!K4/'Balance Sheet'!K18,0)</f>
        <v>7.942621442270088</v>
      </c>
    </row>
    <row r="23" spans="1:11" s="8" customFormat="1" x14ac:dyDescent="0.25">
      <c r="A23" s="8" t="s">
        <v>59</v>
      </c>
      <c r="B23" s="14">
        <f>IF(SUM('Balance Sheet'!B4:B5)&gt;0,'Profit &amp; Loss'!B12/SUM('Balance Sheet'!B4:B5),"")</f>
        <v>0.1129172413824529</v>
      </c>
      <c r="C23" s="14">
        <f>IF(SUM('Balance Sheet'!C4:C5)&gt;0,'Profit &amp; Loss'!C12/SUM('Balance Sheet'!C4:C5),"")</f>
        <v>0.11130420807899676</v>
      </c>
      <c r="D23" s="14">
        <f>IF(SUM('Balance Sheet'!D4:D5)&gt;0,'Profit &amp; Loss'!D12/SUM('Balance Sheet'!D4:D5),"")</f>
        <v>8.4233217947959835E-2</v>
      </c>
      <c r="E23" s="14">
        <f>IF(SUM('Balance Sheet'!E4:E5)&gt;0,'Profit &amp; Loss'!E12/SUM('Balance Sheet'!E4:E5),"")</f>
        <v>7.1213739587237576E-2</v>
      </c>
      <c r="F23" s="14">
        <f>IF(SUM('Balance Sheet'!F4:F5)&gt;0,'Profit &amp; Loss'!F12/SUM('Balance Sheet'!F4:F5),"")</f>
        <v>0.1474053728431893</v>
      </c>
      <c r="G23" s="14">
        <f>IF(SUM('Balance Sheet'!G4:G5)&gt;0,'Profit &amp; Loss'!G12/SUM('Balance Sheet'!G4:G5),"")</f>
        <v>0.12367039217941138</v>
      </c>
      <c r="H23" s="14">
        <f>IF(SUM('Balance Sheet'!H4:H5)&gt;0,'Profit &amp; Loss'!H12/SUM('Balance Sheet'!H4:H5),"")</f>
        <v>0.14561853242780301</v>
      </c>
      <c r="I23" s="14">
        <f>IF(SUM('Balance Sheet'!I4:I5)&gt;0,'Profit &amp; Loss'!I12/SUM('Balance Sheet'!I4:I5),"")</f>
        <v>9.3216804044728221E-2</v>
      </c>
      <c r="J23" s="14">
        <f>IF(SUM('Balance Sheet'!J4:J5)&gt;0,'Profit &amp; Loss'!J12/SUM('Balance Sheet'!J4:J5),"")</f>
        <v>0.11630903368362747</v>
      </c>
      <c r="K23" s="14">
        <f>IF(SUM('Balance Sheet'!K4:K5)&gt;0,'Profit &amp; Loss'!K12/SUM('Balance Sheet'!K4:K5),"")</f>
        <v>8.5410633239221656E-2</v>
      </c>
    </row>
    <row r="24" spans="1:11" s="8" customFormat="1" x14ac:dyDescent="0.25">
      <c r="A24" s="8" t="s">
        <v>60</v>
      </c>
      <c r="B24" s="14"/>
      <c r="C24" s="14">
        <f>IF((B4+B5+B6+C4+C5+C6)&gt;0,('Profit &amp; Loss'!C10+'Profit &amp; Loss'!C9)*2/(B4+B5+B6+C4+C5+C6),"")</f>
        <v>0.13792718713700555</v>
      </c>
      <c r="D24" s="14">
        <f>IF((C4+C5+C6+D4+D5+D6)&gt;0,('Profit &amp; Loss'!D10+'Profit &amp; Loss'!D9)*2/(C4+C5+C6+D4+D5+D6),"")</f>
        <v>0.11531053341286479</v>
      </c>
      <c r="E24" s="14">
        <f>IF((D4+D5+D6+E4+E5+E6)&gt;0,('Profit &amp; Loss'!E10+'Profit &amp; Loss'!E9)*2/(D4+D5+D6+E4+E5+E6),"")</f>
        <v>9.9978246583127053E-2</v>
      </c>
      <c r="F24" s="14">
        <f>IF((E4+E5+E6+F4+F5+F6)&gt;0,('Profit &amp; Loss'!F10+'Profit &amp; Loss'!F9)*2/(E4+E5+E6+F4+F5+F6),"")</f>
        <v>0.11843744265906907</v>
      </c>
      <c r="G24" s="14">
        <f>IF((F4+F5+F6+G4+G5+G6)&gt;0,('Profit &amp; Loss'!G10+'Profit &amp; Loss'!G9)*2/(F4+F5+F6+G4+G5+G6),"")</f>
        <v>0.14827192835956576</v>
      </c>
      <c r="H24" s="14">
        <f>IF((G4+G5+G6+H4+H5+H6)&gt;0,('Profit &amp; Loss'!H10+'Profit &amp; Loss'!H9)*2/(G4+G5+G6+H4+H5+H6),"")</f>
        <v>0.14838467441427883</v>
      </c>
      <c r="I24" s="14">
        <f>IF((H4+H5+H6+I4+I5+I6)&gt;0,('Profit &amp; Loss'!I10+'Profit &amp; Loss'!I9)*2/(H4+H5+H6+I4+I5+I6),"")</f>
        <v>0.12962880070108998</v>
      </c>
      <c r="J24" s="14">
        <f>IF((I4+I5+I6+J4+J5+J6)&gt;0,('Profit &amp; Loss'!J10+'Profit &amp; Loss'!J9)*2/(I4+I5+I6+J4+J5+J6),"")</f>
        <v>0.15166797299316243</v>
      </c>
      <c r="K24" s="14">
        <f>IF((J4+J5+J6+K4+K5+K6)&gt;0,('Profit &amp; Loss'!K10+'Profit &amp; Loss'!K9)*2/(J4+J5+J6+K4+K5+K6),"")</f>
        <v>0.11029445074837457</v>
      </c>
    </row>
    <row r="25" spans="1:11" s="18" customFormat="1" x14ac:dyDescent="0.25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J1" sqref="J1"/>
    </sheetView>
  </sheetViews>
  <sheetFormatPr defaultColWidth="8.85546875" defaultRowHeight="15" x14ac:dyDescent="0.25"/>
  <cols>
    <col min="1" max="1" width="26.85546875" style="6" bestFit="1" customWidth="1"/>
    <col min="2" max="6" width="13.42578125" style="6" customWidth="1"/>
    <col min="7" max="11" width="13.42578125" style="6" bestFit="1" customWidth="1"/>
    <col min="12" max="16384" width="8.85546875" style="6"/>
  </cols>
  <sheetData>
    <row r="1" spans="1:11" s="8" customFormat="1" x14ac:dyDescent="0.25">
      <c r="A1" s="8" t="str">
        <f>'Balance Sheet'!A1</f>
        <v>ULTRATECH CEMENT LTD</v>
      </c>
      <c r="E1" t="str">
        <f>UPDATE</f>
        <v/>
      </c>
      <c r="F1"/>
      <c r="J1" s="4" t="s">
        <v>1</v>
      </c>
      <c r="K1" s="4"/>
    </row>
    <row r="3" spans="1:11" s="2" customFormat="1" x14ac:dyDescent="0.25">
      <c r="A3" s="15" t="s">
        <v>2</v>
      </c>
      <c r="B3" s="16">
        <f>'Data Sheet'!B81</f>
        <v>42460</v>
      </c>
      <c r="C3" s="16">
        <f>'Data Sheet'!C81</f>
        <v>42825</v>
      </c>
      <c r="D3" s="16">
        <f>'Data Sheet'!D81</f>
        <v>43190</v>
      </c>
      <c r="E3" s="16">
        <f>'Data Sheet'!E81</f>
        <v>43555</v>
      </c>
      <c r="F3" s="16">
        <f>'Data Sheet'!F81</f>
        <v>43921</v>
      </c>
      <c r="G3" s="16">
        <f>'Data Sheet'!G81</f>
        <v>44286</v>
      </c>
      <c r="H3" s="16">
        <f>'Data Sheet'!H81</f>
        <v>44651</v>
      </c>
      <c r="I3" s="16">
        <f>'Data Sheet'!I81</f>
        <v>45016</v>
      </c>
      <c r="J3" s="16">
        <f>'Data Sheet'!J81</f>
        <v>45382</v>
      </c>
      <c r="K3" s="16">
        <f>'Data Sheet'!K81</f>
        <v>45747</v>
      </c>
    </row>
    <row r="4" spans="1:11" s="8" customFormat="1" x14ac:dyDescent="0.25">
      <c r="A4" s="8" t="s">
        <v>32</v>
      </c>
      <c r="B4" s="1">
        <f>'Data Sheet'!B82</f>
        <v>4525.51</v>
      </c>
      <c r="C4" s="1">
        <f>'Data Sheet'!C82</f>
        <v>5005.0200000000004</v>
      </c>
      <c r="D4" s="1">
        <f>'Data Sheet'!D82</f>
        <v>3887.72</v>
      </c>
      <c r="E4" s="1">
        <f>'Data Sheet'!E82</f>
        <v>5956.11</v>
      </c>
      <c r="F4" s="1">
        <f>'Data Sheet'!F82</f>
        <v>8972.43</v>
      </c>
      <c r="G4" s="1">
        <f>'Data Sheet'!G82</f>
        <v>12500.43</v>
      </c>
      <c r="H4" s="1">
        <f>'Data Sheet'!H82</f>
        <v>9283.24</v>
      </c>
      <c r="I4" s="1">
        <f>'Data Sheet'!I82</f>
        <v>9068.51</v>
      </c>
      <c r="J4" s="1">
        <f>'Data Sheet'!J82</f>
        <v>10897.54</v>
      </c>
      <c r="K4" s="1">
        <f>'Data Sheet'!K82</f>
        <v>10673.43</v>
      </c>
    </row>
    <row r="5" spans="1:11" x14ac:dyDescent="0.25">
      <c r="A5" s="6" t="s">
        <v>33</v>
      </c>
      <c r="B5" s="9">
        <f>'Data Sheet'!B83</f>
        <v>-3673.35</v>
      </c>
      <c r="C5" s="9">
        <f>'Data Sheet'!C83</f>
        <v>-2501.44</v>
      </c>
      <c r="D5" s="9">
        <f>'Data Sheet'!D83</f>
        <v>1865.72</v>
      </c>
      <c r="E5" s="9">
        <f>'Data Sheet'!E83</f>
        <v>1165.18</v>
      </c>
      <c r="F5" s="9">
        <f>'Data Sheet'!F83</f>
        <v>-4191.95</v>
      </c>
      <c r="G5" s="9">
        <f>'Data Sheet'!G83</f>
        <v>-8856.15</v>
      </c>
      <c r="H5" s="9">
        <f>'Data Sheet'!H83</f>
        <v>2256.54</v>
      </c>
      <c r="I5" s="9">
        <f>'Data Sheet'!I83</f>
        <v>-7187.68</v>
      </c>
      <c r="J5" s="9">
        <f>'Data Sheet'!J83</f>
        <v>-8788.68</v>
      </c>
      <c r="K5" s="9">
        <f>'Data Sheet'!K83</f>
        <v>-15835.56</v>
      </c>
    </row>
    <row r="6" spans="1:11" x14ac:dyDescent="0.25">
      <c r="A6" s="6" t="s">
        <v>34</v>
      </c>
      <c r="B6" s="9">
        <f>'Data Sheet'!B84</f>
        <v>-844.02</v>
      </c>
      <c r="C6" s="9">
        <f>'Data Sheet'!C84</f>
        <v>-2534.98</v>
      </c>
      <c r="D6" s="9">
        <f>'Data Sheet'!D84</f>
        <v>-5735.05</v>
      </c>
      <c r="E6" s="9">
        <f>'Data Sheet'!E84</f>
        <v>-6757.24</v>
      </c>
      <c r="F6" s="9">
        <f>'Data Sheet'!F84</f>
        <v>-5075.88</v>
      </c>
      <c r="G6" s="9">
        <f>'Data Sheet'!G84</f>
        <v>-4356.47</v>
      </c>
      <c r="H6" s="9">
        <f>'Data Sheet'!H84</f>
        <v>-12497.93</v>
      </c>
      <c r="I6" s="9">
        <f>'Data Sheet'!I84</f>
        <v>-1631</v>
      </c>
      <c r="J6" s="9">
        <f>'Data Sheet'!J84</f>
        <v>-1925.65</v>
      </c>
      <c r="K6" s="9">
        <f>'Data Sheet'!K84</f>
        <v>5075.76</v>
      </c>
    </row>
    <row r="7" spans="1:11" s="8" customFormat="1" x14ac:dyDescent="0.25">
      <c r="A7" s="8" t="s">
        <v>35</v>
      </c>
      <c r="B7" s="1">
        <f>'Data Sheet'!B85</f>
        <v>8.14</v>
      </c>
      <c r="C7" s="1">
        <f>'Data Sheet'!C85</f>
        <v>-31.4</v>
      </c>
      <c r="D7" s="1">
        <f>'Data Sheet'!D85</f>
        <v>18.39</v>
      </c>
      <c r="E7" s="1">
        <f>'Data Sheet'!E85</f>
        <v>364.05</v>
      </c>
      <c r="F7" s="1">
        <f>'Data Sheet'!F85</f>
        <v>-295.39999999999998</v>
      </c>
      <c r="G7" s="1">
        <f>'Data Sheet'!G85</f>
        <v>-712.19</v>
      </c>
      <c r="H7" s="1">
        <f>'Data Sheet'!H85</f>
        <v>-958.15</v>
      </c>
      <c r="I7" s="1">
        <f>'Data Sheet'!I85</f>
        <v>249.83</v>
      </c>
      <c r="J7" s="1">
        <f>'Data Sheet'!J85</f>
        <v>183.21</v>
      </c>
      <c r="K7" s="1">
        <f>'Data Sheet'!K85</f>
        <v>-86.37</v>
      </c>
    </row>
    <row r="8" spans="1:11" x14ac:dyDescent="0.25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5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C80" activePane="bottomRight" state="frozen"/>
      <selection activeCell="C4" sqref="C4"/>
      <selection pane="topRight" activeCell="C4" sqref="C4"/>
      <selection pane="bottomLeft" activeCell="C4" sqref="C4"/>
      <selection pane="bottomRight" activeCell="J75" sqref="J75"/>
    </sheetView>
  </sheetViews>
  <sheetFormatPr defaultColWidth="8.85546875" defaultRowHeight="15" x14ac:dyDescent="0.25"/>
  <cols>
    <col min="1" max="1" width="27.7109375" style="5" bestFit="1" customWidth="1"/>
    <col min="2" max="11" width="13.42578125" style="5" bestFit="1" customWidth="1"/>
    <col min="12" max="16384" width="8.85546875" style="5"/>
  </cols>
  <sheetData>
    <row r="1" spans="1:11" s="1" customFormat="1" x14ac:dyDescent="0.25">
      <c r="A1" s="1" t="s">
        <v>0</v>
      </c>
      <c r="B1" s="1" t="s">
        <v>63</v>
      </c>
      <c r="E1" s="104" t="str">
        <f>IF(B2&lt;&gt;B3, "A NEW VERSION OF THE WORKSHEET IS AVAILABLE", "")</f>
        <v/>
      </c>
      <c r="F1" s="104"/>
      <c r="G1" s="104"/>
      <c r="H1" s="104"/>
      <c r="I1" s="104"/>
      <c r="J1" s="104"/>
      <c r="K1" s="104"/>
    </row>
    <row r="2" spans="1:11" x14ac:dyDescent="0.25">
      <c r="A2" s="1" t="s">
        <v>61</v>
      </c>
      <c r="B2" s="5">
        <v>2.1</v>
      </c>
      <c r="E2" s="105" t="s">
        <v>36</v>
      </c>
      <c r="F2" s="105"/>
      <c r="G2" s="105"/>
      <c r="H2" s="105"/>
      <c r="I2" s="105"/>
      <c r="J2" s="105"/>
      <c r="K2" s="105"/>
    </row>
    <row r="3" spans="1:11" x14ac:dyDescent="0.25">
      <c r="A3" s="1" t="s">
        <v>62</v>
      </c>
      <c r="B3" s="5">
        <v>2.1</v>
      </c>
    </row>
    <row r="4" spans="1:11" x14ac:dyDescent="0.25">
      <c r="A4" s="1"/>
    </row>
    <row r="5" spans="1:11" x14ac:dyDescent="0.25">
      <c r="A5" s="1" t="s">
        <v>64</v>
      </c>
    </row>
    <row r="6" spans="1:11" x14ac:dyDescent="0.25">
      <c r="A6" s="5" t="s">
        <v>42</v>
      </c>
      <c r="B6" s="5">
        <f>IF(B9&gt;0, B9/B8, 0)</f>
        <v>29.463938723404258</v>
      </c>
    </row>
    <row r="7" spans="1:11" x14ac:dyDescent="0.25">
      <c r="A7" s="5" t="s">
        <v>31</v>
      </c>
      <c r="B7">
        <v>10</v>
      </c>
    </row>
    <row r="8" spans="1:11" x14ac:dyDescent="0.25">
      <c r="A8" s="5" t="s">
        <v>43</v>
      </c>
      <c r="B8">
        <v>11750</v>
      </c>
    </row>
    <row r="9" spans="1:11" x14ac:dyDescent="0.25">
      <c r="A9" s="5" t="s">
        <v>79</v>
      </c>
      <c r="B9">
        <v>346201.28</v>
      </c>
    </row>
    <row r="15" spans="1:11" x14ac:dyDescent="0.25">
      <c r="A15" s="1" t="s">
        <v>37</v>
      </c>
    </row>
    <row r="16" spans="1:11" s="24" customFormat="1" x14ac:dyDescent="0.25">
      <c r="A16" s="23" t="s">
        <v>38</v>
      </c>
      <c r="B16" s="16">
        <v>42460</v>
      </c>
      <c r="C16" s="16">
        <v>42825</v>
      </c>
      <c r="D16" s="16">
        <v>43190</v>
      </c>
      <c r="E16" s="16">
        <v>43555</v>
      </c>
      <c r="F16" s="16">
        <v>43921</v>
      </c>
      <c r="G16" s="16">
        <v>44286</v>
      </c>
      <c r="H16" s="16">
        <v>44651</v>
      </c>
      <c r="I16" s="16">
        <v>45016</v>
      </c>
      <c r="J16" s="16">
        <v>45382</v>
      </c>
      <c r="K16" s="16">
        <v>45747</v>
      </c>
    </row>
    <row r="17" spans="1:11" s="9" customFormat="1" x14ac:dyDescent="0.25">
      <c r="A17" s="9" t="s">
        <v>6</v>
      </c>
      <c r="B17">
        <v>25153.24</v>
      </c>
      <c r="C17">
        <v>25374.94</v>
      </c>
      <c r="D17">
        <v>30978.62</v>
      </c>
      <c r="E17">
        <v>41462.26</v>
      </c>
      <c r="F17">
        <v>42429.89</v>
      </c>
      <c r="G17">
        <v>44725.8</v>
      </c>
      <c r="H17">
        <v>52598.83</v>
      </c>
      <c r="I17">
        <v>63239.98</v>
      </c>
      <c r="J17">
        <v>70908.14</v>
      </c>
      <c r="K17">
        <v>75955.13</v>
      </c>
    </row>
    <row r="18" spans="1:11" s="9" customFormat="1" x14ac:dyDescent="0.25">
      <c r="A18" s="5" t="s">
        <v>80</v>
      </c>
      <c r="B18">
        <v>4436.12</v>
      </c>
      <c r="C18">
        <v>4416.8999999999996</v>
      </c>
      <c r="D18">
        <v>5399.98</v>
      </c>
      <c r="E18">
        <v>6936.74</v>
      </c>
      <c r="F18">
        <v>6875.89</v>
      </c>
      <c r="G18">
        <v>6635.66</v>
      </c>
      <c r="H18">
        <v>8348.15</v>
      </c>
      <c r="I18">
        <v>10233.17</v>
      </c>
      <c r="J18">
        <v>11986.27</v>
      </c>
      <c r="K18">
        <v>13691.46</v>
      </c>
    </row>
    <row r="19" spans="1:11" s="9" customFormat="1" x14ac:dyDescent="0.25">
      <c r="A19" s="5" t="s">
        <v>81</v>
      </c>
      <c r="B19">
        <v>18.61</v>
      </c>
      <c r="C19">
        <v>-75.69</v>
      </c>
      <c r="D19">
        <v>111.2</v>
      </c>
      <c r="E19">
        <v>-46.35</v>
      </c>
      <c r="F19">
        <v>357.83</v>
      </c>
      <c r="G19">
        <v>-450.15</v>
      </c>
      <c r="H19">
        <v>383.16</v>
      </c>
      <c r="I19">
        <v>518.21</v>
      </c>
      <c r="J19">
        <v>83.35</v>
      </c>
      <c r="K19">
        <v>-12.27</v>
      </c>
    </row>
    <row r="20" spans="1:11" s="9" customFormat="1" x14ac:dyDescent="0.25">
      <c r="A20" s="5" t="s">
        <v>82</v>
      </c>
      <c r="B20">
        <v>4579.25</v>
      </c>
      <c r="C20">
        <v>4271.9799999999996</v>
      </c>
      <c r="D20">
        <v>6334.07</v>
      </c>
      <c r="E20">
        <v>9436.14</v>
      </c>
      <c r="F20">
        <v>8516.8700000000008</v>
      </c>
      <c r="G20">
        <v>8331.18</v>
      </c>
      <c r="H20">
        <v>12137.26</v>
      </c>
      <c r="I20">
        <v>18491.32</v>
      </c>
      <c r="J20">
        <v>18283.32</v>
      </c>
      <c r="K20">
        <v>18419.150000000001</v>
      </c>
    </row>
    <row r="21" spans="1:11" s="9" customFormat="1" x14ac:dyDescent="0.25">
      <c r="A21" s="5" t="s">
        <v>83</v>
      </c>
      <c r="B21">
        <v>1933.88</v>
      </c>
      <c r="C21">
        <v>1991.28</v>
      </c>
      <c r="D21">
        <v>2289.5300000000002</v>
      </c>
      <c r="E21">
        <v>3001.06</v>
      </c>
      <c r="F21">
        <v>3043.3</v>
      </c>
      <c r="G21">
        <v>3067.38</v>
      </c>
      <c r="H21">
        <v>3889.67</v>
      </c>
      <c r="I21">
        <v>4344.34</v>
      </c>
      <c r="J21">
        <v>4898.17</v>
      </c>
      <c r="K21">
        <v>5474.61</v>
      </c>
    </row>
    <row r="22" spans="1:11" s="9" customFormat="1" x14ac:dyDescent="0.25">
      <c r="A22" s="5" t="s">
        <v>84</v>
      </c>
      <c r="B22">
        <v>1466.49</v>
      </c>
      <c r="C22">
        <v>1547.77</v>
      </c>
      <c r="D22">
        <v>1831.81</v>
      </c>
      <c r="E22">
        <v>2309.4299999999998</v>
      </c>
      <c r="F22">
        <v>2522.64</v>
      </c>
      <c r="G22">
        <v>2363.33</v>
      </c>
      <c r="H22">
        <v>2545</v>
      </c>
      <c r="I22">
        <v>2751.31</v>
      </c>
      <c r="J22">
        <v>3051.99</v>
      </c>
      <c r="K22">
        <v>3619.25</v>
      </c>
    </row>
    <row r="23" spans="1:11" s="9" customFormat="1" x14ac:dyDescent="0.25">
      <c r="A23" s="5" t="s">
        <v>85</v>
      </c>
      <c r="B23">
        <v>7200.47</v>
      </c>
      <c r="C23">
        <v>7149.12</v>
      </c>
      <c r="D23">
        <v>8320.2800000000007</v>
      </c>
      <c r="E23">
        <v>11563.8</v>
      </c>
      <c r="F23">
        <v>11237.32</v>
      </c>
      <c r="G23">
        <v>11266.02</v>
      </c>
      <c r="H23">
        <v>13282.22</v>
      </c>
      <c r="I23">
        <v>15859.6</v>
      </c>
      <c r="J23">
        <v>18066.95</v>
      </c>
      <c r="K23">
        <v>19571.95</v>
      </c>
    </row>
    <row r="24" spans="1:11" s="9" customFormat="1" x14ac:dyDescent="0.25">
      <c r="A24" s="5" t="s">
        <v>86</v>
      </c>
      <c r="B24">
        <v>654.66999999999996</v>
      </c>
      <c r="C24">
        <v>709.76</v>
      </c>
      <c r="D24">
        <v>769.12</v>
      </c>
      <c r="E24">
        <v>821.8</v>
      </c>
      <c r="F24">
        <v>1345.73</v>
      </c>
      <c r="G24">
        <v>1044.17</v>
      </c>
      <c r="H24">
        <v>1265.3399999999999</v>
      </c>
      <c r="I24">
        <v>1458.6</v>
      </c>
      <c r="J24">
        <v>1726.23</v>
      </c>
      <c r="K24">
        <v>2369.56</v>
      </c>
    </row>
    <row r="25" spans="1:11" s="9" customFormat="1" x14ac:dyDescent="0.25">
      <c r="A25" s="9" t="s">
        <v>9</v>
      </c>
      <c r="B25">
        <v>463.81</v>
      </c>
      <c r="C25">
        <v>648.12</v>
      </c>
      <c r="D25">
        <v>241.97</v>
      </c>
      <c r="E25">
        <v>350.1</v>
      </c>
      <c r="F25">
        <v>651.05999999999995</v>
      </c>
      <c r="G25">
        <v>618.52</v>
      </c>
      <c r="H25">
        <v>669.43</v>
      </c>
      <c r="I25">
        <v>507.11</v>
      </c>
      <c r="J25">
        <v>556.96</v>
      </c>
      <c r="K25">
        <v>396.74</v>
      </c>
    </row>
    <row r="26" spans="1:11" s="9" customFormat="1" x14ac:dyDescent="0.25">
      <c r="A26" s="9" t="s">
        <v>10</v>
      </c>
      <c r="B26">
        <v>1377.17</v>
      </c>
      <c r="C26">
        <v>1348.41</v>
      </c>
      <c r="D26">
        <v>1847.93</v>
      </c>
      <c r="E26">
        <v>2450.73</v>
      </c>
      <c r="F26">
        <v>2722.66</v>
      </c>
      <c r="G26">
        <v>2700.23</v>
      </c>
      <c r="H26">
        <v>2714.75</v>
      </c>
      <c r="I26">
        <v>2887.99</v>
      </c>
      <c r="J26">
        <v>3145.3</v>
      </c>
      <c r="K26">
        <v>4014.95</v>
      </c>
    </row>
    <row r="27" spans="1:11" s="9" customFormat="1" x14ac:dyDescent="0.25">
      <c r="A27" s="9" t="s">
        <v>11</v>
      </c>
      <c r="B27">
        <v>566.29999999999995</v>
      </c>
      <c r="C27">
        <v>640.1</v>
      </c>
      <c r="D27">
        <v>1237.5999999999999</v>
      </c>
      <c r="E27">
        <v>1777.86</v>
      </c>
      <c r="F27">
        <v>1991.65</v>
      </c>
      <c r="G27">
        <v>1485.65</v>
      </c>
      <c r="H27">
        <v>944.71</v>
      </c>
      <c r="I27">
        <v>822.72</v>
      </c>
      <c r="J27">
        <v>968</v>
      </c>
      <c r="K27">
        <v>1650.54</v>
      </c>
    </row>
    <row r="28" spans="1:11" s="9" customFormat="1" x14ac:dyDescent="0.25">
      <c r="A28" s="9" t="s">
        <v>12</v>
      </c>
      <c r="B28">
        <v>3421.31</v>
      </c>
      <c r="C28">
        <v>3872.05</v>
      </c>
      <c r="D28">
        <v>3301.47</v>
      </c>
      <c r="E28">
        <v>3468.45</v>
      </c>
      <c r="F28">
        <v>5182.72</v>
      </c>
      <c r="G28">
        <v>8000.55</v>
      </c>
      <c r="H28">
        <v>8524.32</v>
      </c>
      <c r="I28">
        <v>7416.25</v>
      </c>
      <c r="J28">
        <v>9422.2199999999993</v>
      </c>
      <c r="K28">
        <v>7528.13</v>
      </c>
    </row>
    <row r="29" spans="1:11" s="9" customFormat="1" x14ac:dyDescent="0.25">
      <c r="A29" s="9" t="s">
        <v>13</v>
      </c>
      <c r="B29">
        <v>941.69</v>
      </c>
      <c r="C29">
        <v>1158.54</v>
      </c>
      <c r="D29">
        <v>1077.01</v>
      </c>
      <c r="E29">
        <v>1068.07</v>
      </c>
      <c r="F29">
        <v>-568.16</v>
      </c>
      <c r="G29">
        <v>2538.6999999999998</v>
      </c>
      <c r="H29">
        <v>1190.06</v>
      </c>
      <c r="I29">
        <v>2342.85</v>
      </c>
      <c r="J29">
        <v>2418.2600000000002</v>
      </c>
      <c r="K29">
        <v>1488.49</v>
      </c>
    </row>
    <row r="30" spans="1:11" s="9" customFormat="1" x14ac:dyDescent="0.25">
      <c r="A30" s="9" t="s">
        <v>14</v>
      </c>
      <c r="B30">
        <v>2478.04</v>
      </c>
      <c r="C30">
        <v>2714.92</v>
      </c>
      <c r="D30">
        <v>2222.17</v>
      </c>
      <c r="E30">
        <v>2403.5100000000002</v>
      </c>
      <c r="F30">
        <v>5755.26</v>
      </c>
      <c r="G30">
        <v>5463.1</v>
      </c>
      <c r="H30">
        <v>7344.31</v>
      </c>
      <c r="I30">
        <v>5063.96</v>
      </c>
      <c r="J30">
        <v>7005</v>
      </c>
      <c r="K30">
        <v>6039.11</v>
      </c>
    </row>
    <row r="31" spans="1:11" s="9" customFormat="1" x14ac:dyDescent="0.25">
      <c r="A31" s="9" t="s">
        <v>70</v>
      </c>
      <c r="B31">
        <v>260.70999999999998</v>
      </c>
      <c r="C31">
        <v>274.51</v>
      </c>
      <c r="D31">
        <v>288.33999999999997</v>
      </c>
      <c r="E31">
        <v>315.83999999999997</v>
      </c>
      <c r="F31">
        <v>375.22</v>
      </c>
      <c r="G31">
        <v>1068</v>
      </c>
      <c r="H31">
        <v>1096.95</v>
      </c>
      <c r="I31">
        <v>1097.02</v>
      </c>
      <c r="J31">
        <v>2020.83</v>
      </c>
      <c r="K31">
        <v>2283.77</v>
      </c>
    </row>
    <row r="32" spans="1:11" s="9" customFormat="1" x14ac:dyDescent="0.25"/>
    <row r="33" spans="1:11" x14ac:dyDescent="0.25">
      <c r="A33" s="9"/>
    </row>
    <row r="34" spans="1:11" x14ac:dyDescent="0.25">
      <c r="A34" s="9"/>
    </row>
    <row r="35" spans="1:11" x14ac:dyDescent="0.25">
      <c r="A35" s="9"/>
    </row>
    <row r="36" spans="1:11" x14ac:dyDescent="0.25">
      <c r="A36" s="9"/>
    </row>
    <row r="37" spans="1:11" x14ac:dyDescent="0.25">
      <c r="A37" s="9"/>
    </row>
    <row r="38" spans="1:11" x14ac:dyDescent="0.25">
      <c r="A38" s="9"/>
    </row>
    <row r="39" spans="1:11" x14ac:dyDescent="0.25">
      <c r="A39" s="9"/>
    </row>
    <row r="40" spans="1:11" x14ac:dyDescent="0.25">
      <c r="A40" s="1" t="s">
        <v>39</v>
      </c>
    </row>
    <row r="41" spans="1:11" s="24" customFormat="1" x14ac:dyDescent="0.25">
      <c r="A41" s="23" t="s">
        <v>38</v>
      </c>
      <c r="B41" s="16">
        <v>45107</v>
      </c>
      <c r="C41" s="16">
        <v>45199</v>
      </c>
      <c r="D41" s="16">
        <v>45291</v>
      </c>
      <c r="E41" s="16">
        <v>45382</v>
      </c>
      <c r="F41" s="16">
        <v>45473</v>
      </c>
      <c r="G41" s="16">
        <v>45565</v>
      </c>
      <c r="H41" s="16">
        <v>45657</v>
      </c>
      <c r="I41" s="16">
        <v>45747</v>
      </c>
      <c r="J41" s="16">
        <v>45838</v>
      </c>
      <c r="K41" s="16">
        <v>45930</v>
      </c>
    </row>
    <row r="42" spans="1:11" s="9" customFormat="1" x14ac:dyDescent="0.25">
      <c r="A42" s="9" t="s">
        <v>6</v>
      </c>
      <c r="B42">
        <v>17737.099999999999</v>
      </c>
      <c r="C42">
        <v>16012.13</v>
      </c>
      <c r="D42">
        <v>16739.97</v>
      </c>
      <c r="E42">
        <v>20418.939999999999</v>
      </c>
      <c r="F42">
        <v>18818.560000000001</v>
      </c>
      <c r="G42">
        <v>16294.42</v>
      </c>
      <c r="H42">
        <v>17778.830000000002</v>
      </c>
      <c r="I42">
        <v>23063.32</v>
      </c>
      <c r="J42">
        <v>21275.45</v>
      </c>
      <c r="K42">
        <v>19606.93</v>
      </c>
    </row>
    <row r="43" spans="1:11" s="9" customFormat="1" x14ac:dyDescent="0.25">
      <c r="A43" s="9" t="s">
        <v>7</v>
      </c>
      <c r="B43">
        <v>14687.92</v>
      </c>
      <c r="C43">
        <v>13461.24</v>
      </c>
      <c r="D43">
        <v>13485.4</v>
      </c>
      <c r="E43">
        <v>16305.02</v>
      </c>
      <c r="F43">
        <v>15801.46</v>
      </c>
      <c r="G43">
        <v>14268.68</v>
      </c>
      <c r="H43">
        <v>14885.35</v>
      </c>
      <c r="I43">
        <v>18455.650000000001</v>
      </c>
      <c r="J43">
        <v>16869.419999999998</v>
      </c>
      <c r="K43">
        <v>16518.27</v>
      </c>
    </row>
    <row r="44" spans="1:11" s="9" customFormat="1" x14ac:dyDescent="0.25">
      <c r="A44" s="9" t="s">
        <v>9</v>
      </c>
      <c r="B44">
        <v>177.43</v>
      </c>
      <c r="C44">
        <v>170.62</v>
      </c>
      <c r="D44">
        <v>146.24</v>
      </c>
      <c r="E44">
        <v>72.67</v>
      </c>
      <c r="F44">
        <v>83.31</v>
      </c>
      <c r="G44">
        <v>226.22</v>
      </c>
      <c r="H44">
        <v>247.32</v>
      </c>
      <c r="I44">
        <v>92.78</v>
      </c>
      <c r="J44">
        <v>141.85</v>
      </c>
      <c r="K44">
        <v>174.14</v>
      </c>
    </row>
    <row r="45" spans="1:11" s="9" customFormat="1" x14ac:dyDescent="0.25">
      <c r="A45" s="9" t="s">
        <v>10</v>
      </c>
      <c r="B45">
        <v>749.07</v>
      </c>
      <c r="C45">
        <v>797.83</v>
      </c>
      <c r="D45">
        <v>783.48</v>
      </c>
      <c r="E45">
        <v>814.92</v>
      </c>
      <c r="F45">
        <v>917.93</v>
      </c>
      <c r="G45">
        <v>979.67</v>
      </c>
      <c r="H45">
        <v>992.78</v>
      </c>
      <c r="I45">
        <v>1124.57</v>
      </c>
      <c r="J45">
        <v>1106.78</v>
      </c>
      <c r="K45">
        <v>1147.68</v>
      </c>
    </row>
    <row r="46" spans="1:11" s="9" customFormat="1" x14ac:dyDescent="0.25">
      <c r="A46" s="9" t="s">
        <v>11</v>
      </c>
      <c r="B46">
        <v>210.75</v>
      </c>
      <c r="C46">
        <v>233.94</v>
      </c>
      <c r="D46">
        <v>262.16000000000003</v>
      </c>
      <c r="E46">
        <v>261.14999999999998</v>
      </c>
      <c r="F46">
        <v>325.76</v>
      </c>
      <c r="G46">
        <v>392.99</v>
      </c>
      <c r="H46">
        <v>456.75</v>
      </c>
      <c r="I46">
        <v>475.04</v>
      </c>
      <c r="J46">
        <v>433.3</v>
      </c>
      <c r="K46">
        <v>459.29</v>
      </c>
    </row>
    <row r="47" spans="1:11" s="9" customFormat="1" x14ac:dyDescent="0.25">
      <c r="A47" s="9" t="s">
        <v>12</v>
      </c>
      <c r="B47">
        <v>2266.79</v>
      </c>
      <c r="C47">
        <v>1689.74</v>
      </c>
      <c r="D47">
        <v>2355.17</v>
      </c>
      <c r="E47">
        <v>3110.52</v>
      </c>
      <c r="F47">
        <v>1856.72</v>
      </c>
      <c r="G47">
        <v>879.3</v>
      </c>
      <c r="H47">
        <v>1691.27</v>
      </c>
      <c r="I47">
        <v>3100.84</v>
      </c>
      <c r="J47">
        <v>3007.8</v>
      </c>
      <c r="K47">
        <v>1655.83</v>
      </c>
    </row>
    <row r="48" spans="1:11" s="9" customFormat="1" x14ac:dyDescent="0.25">
      <c r="A48" s="9" t="s">
        <v>13</v>
      </c>
      <c r="B48">
        <v>576.57000000000005</v>
      </c>
      <c r="C48">
        <v>409.36</v>
      </c>
      <c r="D48">
        <v>580.39</v>
      </c>
      <c r="E48">
        <v>851.94</v>
      </c>
      <c r="F48">
        <v>363.27</v>
      </c>
      <c r="G48">
        <v>171.34</v>
      </c>
      <c r="H48">
        <v>327.83</v>
      </c>
      <c r="I48">
        <v>626.04999999999995</v>
      </c>
      <c r="J48">
        <v>786.89</v>
      </c>
      <c r="K48">
        <v>417.85</v>
      </c>
    </row>
    <row r="49" spans="1:11" s="9" customFormat="1" x14ac:dyDescent="0.25">
      <c r="A49" s="9" t="s">
        <v>14</v>
      </c>
      <c r="B49">
        <v>1688.45</v>
      </c>
      <c r="C49">
        <v>1281.45</v>
      </c>
      <c r="D49">
        <v>1776.98</v>
      </c>
      <c r="E49">
        <v>2258.12</v>
      </c>
      <c r="F49">
        <v>1494.82</v>
      </c>
      <c r="G49">
        <v>702.82</v>
      </c>
      <c r="H49">
        <v>1359.43</v>
      </c>
      <c r="I49">
        <v>2482.04</v>
      </c>
      <c r="J49">
        <v>2225.9</v>
      </c>
      <c r="K49">
        <v>1231.58</v>
      </c>
    </row>
    <row r="50" spans="1:11" x14ac:dyDescent="0.25">
      <c r="A50" s="9" t="s">
        <v>8</v>
      </c>
      <c r="B50">
        <v>3049.18</v>
      </c>
      <c r="C50">
        <v>2550.89</v>
      </c>
      <c r="D50">
        <v>3254.57</v>
      </c>
      <c r="E50">
        <v>4113.92</v>
      </c>
      <c r="F50">
        <v>3017.1</v>
      </c>
      <c r="G50">
        <v>2025.74</v>
      </c>
      <c r="H50">
        <v>2893.48</v>
      </c>
      <c r="I50">
        <v>4607.67</v>
      </c>
      <c r="J50">
        <v>4406.03</v>
      </c>
      <c r="K50">
        <v>3088.66</v>
      </c>
    </row>
    <row r="51" spans="1:11" x14ac:dyDescent="0.25">
      <c r="A51" s="9"/>
    </row>
    <row r="52" spans="1:11" x14ac:dyDescent="0.25">
      <c r="A52" s="9"/>
    </row>
    <row r="53" spans="1:11" x14ac:dyDescent="0.25">
      <c r="A53" s="9"/>
    </row>
    <row r="54" spans="1:11" x14ac:dyDescent="0.25">
      <c r="A54" s="9"/>
    </row>
    <row r="55" spans="1:11" x14ac:dyDescent="0.25">
      <c r="A55" s="1" t="s">
        <v>40</v>
      </c>
    </row>
    <row r="56" spans="1:11" s="24" customFormat="1" x14ac:dyDescent="0.25">
      <c r="A56" s="23" t="s">
        <v>38</v>
      </c>
      <c r="B56" s="16">
        <v>42460</v>
      </c>
      <c r="C56" s="16">
        <v>42825</v>
      </c>
      <c r="D56" s="16">
        <v>43190</v>
      </c>
      <c r="E56" s="16">
        <v>43555</v>
      </c>
      <c r="F56" s="16">
        <v>43921</v>
      </c>
      <c r="G56" s="16">
        <v>44286</v>
      </c>
      <c r="H56" s="16">
        <v>44651</v>
      </c>
      <c r="I56" s="16">
        <v>45016</v>
      </c>
      <c r="J56" s="16">
        <v>45382</v>
      </c>
      <c r="K56" s="16">
        <v>45747</v>
      </c>
    </row>
    <row r="57" spans="1:11" x14ac:dyDescent="0.25">
      <c r="A57" s="9" t="s">
        <v>24</v>
      </c>
      <c r="B57">
        <v>274.43</v>
      </c>
      <c r="C57">
        <v>274.51</v>
      </c>
      <c r="D57">
        <v>274.61</v>
      </c>
      <c r="E57">
        <v>274.64</v>
      </c>
      <c r="F57">
        <v>288.63</v>
      </c>
      <c r="G57">
        <v>288.64999999999998</v>
      </c>
      <c r="H57">
        <v>288.67</v>
      </c>
      <c r="I57">
        <v>288.69</v>
      </c>
      <c r="J57">
        <v>288.69</v>
      </c>
      <c r="K57">
        <v>294.68</v>
      </c>
    </row>
    <row r="58" spans="1:11" x14ac:dyDescent="0.25">
      <c r="A58" s="9" t="s">
        <v>25</v>
      </c>
      <c r="B58">
        <v>21671.200000000001</v>
      </c>
      <c r="C58">
        <v>24117.38</v>
      </c>
      <c r="D58">
        <v>26106.55</v>
      </c>
      <c r="E58">
        <v>33476.01</v>
      </c>
      <c r="F58">
        <v>38755.129999999997</v>
      </c>
      <c r="G58">
        <v>43886.03</v>
      </c>
      <c r="H58">
        <v>50146.6</v>
      </c>
      <c r="I58">
        <v>54035.85</v>
      </c>
      <c r="J58">
        <v>59938.79</v>
      </c>
      <c r="K58">
        <v>70412.09</v>
      </c>
    </row>
    <row r="59" spans="1:11" x14ac:dyDescent="0.25">
      <c r="A59" s="9" t="s">
        <v>71</v>
      </c>
      <c r="B59">
        <v>10615.99</v>
      </c>
      <c r="C59">
        <v>8474.49</v>
      </c>
      <c r="D59">
        <v>19480.22</v>
      </c>
      <c r="E59">
        <v>25337</v>
      </c>
      <c r="F59">
        <v>23018.959999999999</v>
      </c>
      <c r="G59">
        <v>21719.39</v>
      </c>
      <c r="H59">
        <v>11298.8</v>
      </c>
      <c r="I59">
        <v>11057.74</v>
      </c>
      <c r="J59">
        <v>11402.95</v>
      </c>
      <c r="K59">
        <v>24102.18</v>
      </c>
    </row>
    <row r="60" spans="1:11" x14ac:dyDescent="0.25">
      <c r="A60" s="9" t="s">
        <v>72</v>
      </c>
      <c r="B60">
        <v>8631.49</v>
      </c>
      <c r="C60">
        <v>9342.73</v>
      </c>
      <c r="D60">
        <v>11279.71</v>
      </c>
      <c r="E60">
        <v>17437.72</v>
      </c>
      <c r="F60">
        <v>17151.09</v>
      </c>
      <c r="G60">
        <v>20282.28</v>
      </c>
      <c r="H60">
        <v>22077.37</v>
      </c>
      <c r="I60">
        <v>25998.12</v>
      </c>
      <c r="J60">
        <v>29166.68</v>
      </c>
      <c r="K60">
        <v>38823.11</v>
      </c>
    </row>
    <row r="61" spans="1:11" s="1" customFormat="1" x14ac:dyDescent="0.25">
      <c r="A61" s="1" t="s">
        <v>26</v>
      </c>
      <c r="B61">
        <v>41193.11</v>
      </c>
      <c r="C61">
        <v>42209.11</v>
      </c>
      <c r="D61">
        <v>57141.09</v>
      </c>
      <c r="E61">
        <v>76525.37</v>
      </c>
      <c r="F61">
        <v>79213.81</v>
      </c>
      <c r="G61">
        <v>86176.35</v>
      </c>
      <c r="H61">
        <v>83811.44</v>
      </c>
      <c r="I61">
        <v>91380.4</v>
      </c>
      <c r="J61">
        <v>100797.11</v>
      </c>
      <c r="K61">
        <v>133632.06</v>
      </c>
    </row>
    <row r="62" spans="1:11" x14ac:dyDescent="0.25">
      <c r="A62" s="9" t="s">
        <v>27</v>
      </c>
      <c r="B62">
        <v>25309.42</v>
      </c>
      <c r="C62">
        <v>25903.75</v>
      </c>
      <c r="D62">
        <v>39715.300000000003</v>
      </c>
      <c r="E62">
        <v>56644.62</v>
      </c>
      <c r="F62">
        <v>57150.96</v>
      </c>
      <c r="G62">
        <v>55411.61</v>
      </c>
      <c r="H62">
        <v>55487.57</v>
      </c>
      <c r="I62">
        <v>59579</v>
      </c>
      <c r="J62">
        <v>62877.61</v>
      </c>
      <c r="K62">
        <v>94564.22</v>
      </c>
    </row>
    <row r="63" spans="1:11" x14ac:dyDescent="0.25">
      <c r="A63" s="9" t="s">
        <v>28</v>
      </c>
      <c r="B63">
        <v>1469.09</v>
      </c>
      <c r="C63">
        <v>921.48</v>
      </c>
      <c r="D63">
        <v>1511.21</v>
      </c>
      <c r="E63">
        <v>1153.32</v>
      </c>
      <c r="F63">
        <v>919.59</v>
      </c>
      <c r="G63">
        <v>1686.68</v>
      </c>
      <c r="H63">
        <v>4784.67</v>
      </c>
      <c r="I63">
        <v>4040.39</v>
      </c>
      <c r="J63">
        <v>6811.18</v>
      </c>
      <c r="K63">
        <v>6234.19</v>
      </c>
    </row>
    <row r="64" spans="1:11" x14ac:dyDescent="0.25">
      <c r="A64" s="9" t="s">
        <v>29</v>
      </c>
      <c r="B64">
        <v>5095.18</v>
      </c>
      <c r="C64">
        <v>6690.51</v>
      </c>
      <c r="D64">
        <v>5446.9</v>
      </c>
      <c r="E64">
        <v>2921.33</v>
      </c>
      <c r="F64">
        <v>5928.69</v>
      </c>
      <c r="G64">
        <v>12178.11</v>
      </c>
      <c r="H64">
        <v>6335.77</v>
      </c>
      <c r="I64">
        <v>7296.95</v>
      </c>
      <c r="J64">
        <v>8248.9500000000007</v>
      </c>
      <c r="K64">
        <v>5156.47</v>
      </c>
    </row>
    <row r="65" spans="1:11" x14ac:dyDescent="0.25">
      <c r="A65" s="9" t="s">
        <v>73</v>
      </c>
      <c r="B65">
        <v>9319.42</v>
      </c>
      <c r="C65">
        <v>8693.3700000000008</v>
      </c>
      <c r="D65">
        <v>10467.68</v>
      </c>
      <c r="E65">
        <v>15806.1</v>
      </c>
      <c r="F65">
        <v>15214.57</v>
      </c>
      <c r="G65">
        <v>16899.95</v>
      </c>
      <c r="H65">
        <v>17203.43</v>
      </c>
      <c r="I65">
        <v>20464.060000000001</v>
      </c>
      <c r="J65">
        <v>22859.37</v>
      </c>
      <c r="K65">
        <v>27677.18</v>
      </c>
    </row>
    <row r="66" spans="1:11" s="1" customFormat="1" x14ac:dyDescent="0.25">
      <c r="A66" s="1" t="s">
        <v>26</v>
      </c>
      <c r="B66">
        <v>41193.11</v>
      </c>
      <c r="C66">
        <v>42209.11</v>
      </c>
      <c r="D66">
        <v>57141.09</v>
      </c>
      <c r="E66">
        <v>76525.37</v>
      </c>
      <c r="F66">
        <v>79213.81</v>
      </c>
      <c r="G66">
        <v>86176.35</v>
      </c>
      <c r="H66">
        <v>83811.44</v>
      </c>
      <c r="I66">
        <v>91380.4</v>
      </c>
      <c r="J66">
        <v>100797.11</v>
      </c>
      <c r="K66">
        <v>133632.06</v>
      </c>
    </row>
    <row r="67" spans="1:11" s="9" customFormat="1" x14ac:dyDescent="0.25">
      <c r="A67" s="9" t="s">
        <v>78</v>
      </c>
      <c r="B67">
        <v>1928.21</v>
      </c>
      <c r="C67">
        <v>1757.09</v>
      </c>
      <c r="D67">
        <v>2220.63</v>
      </c>
      <c r="E67">
        <v>2787.03</v>
      </c>
      <c r="F67">
        <v>2383.2199999999998</v>
      </c>
      <c r="G67">
        <v>2571.73</v>
      </c>
      <c r="H67">
        <v>3071.61</v>
      </c>
      <c r="I67">
        <v>3867.02</v>
      </c>
      <c r="J67">
        <v>4278.16</v>
      </c>
      <c r="K67">
        <v>5890.25</v>
      </c>
    </row>
    <row r="68" spans="1:11" x14ac:dyDescent="0.25">
      <c r="A68" s="9" t="s">
        <v>45</v>
      </c>
      <c r="B68">
        <v>2454.58</v>
      </c>
      <c r="C68">
        <v>2400.64</v>
      </c>
      <c r="D68">
        <v>3267.59</v>
      </c>
      <c r="E68">
        <v>4098.96</v>
      </c>
      <c r="F68">
        <v>4183.3500000000004</v>
      </c>
      <c r="G68">
        <v>4017.97</v>
      </c>
      <c r="H68">
        <v>5595.58</v>
      </c>
      <c r="I68">
        <v>6611.83</v>
      </c>
      <c r="J68">
        <v>8329.74</v>
      </c>
      <c r="K68">
        <v>9562.98</v>
      </c>
    </row>
    <row r="69" spans="1:11" x14ac:dyDescent="0.25">
      <c r="A69" s="5" t="s">
        <v>87</v>
      </c>
      <c r="B69">
        <v>2266.96</v>
      </c>
      <c r="C69">
        <v>2248.7800000000002</v>
      </c>
      <c r="D69">
        <v>219.07</v>
      </c>
      <c r="E69">
        <v>739.68</v>
      </c>
      <c r="F69">
        <v>539.91</v>
      </c>
      <c r="G69">
        <v>2007.55</v>
      </c>
      <c r="H69">
        <v>359.18</v>
      </c>
      <c r="I69">
        <v>1149.5899999999999</v>
      </c>
      <c r="J69">
        <v>783.21</v>
      </c>
      <c r="K69">
        <v>1673.32</v>
      </c>
    </row>
    <row r="70" spans="1:11" x14ac:dyDescent="0.25">
      <c r="A70" s="5" t="s">
        <v>74</v>
      </c>
      <c r="B70">
        <v>274431377</v>
      </c>
      <c r="C70">
        <v>274507906</v>
      </c>
      <c r="D70">
        <v>274613985</v>
      </c>
      <c r="E70">
        <v>274642720</v>
      </c>
      <c r="F70">
        <v>288625105</v>
      </c>
      <c r="G70">
        <v>288653398</v>
      </c>
      <c r="H70">
        <v>288670847</v>
      </c>
      <c r="I70">
        <v>288686345</v>
      </c>
      <c r="J70">
        <v>288686345</v>
      </c>
      <c r="K70">
        <v>294677410</v>
      </c>
    </row>
    <row r="71" spans="1:11" x14ac:dyDescent="0.25">
      <c r="A71" s="5" t="s">
        <v>75</v>
      </c>
    </row>
    <row r="72" spans="1:11" x14ac:dyDescent="0.25">
      <c r="A72" s="5" t="s">
        <v>88</v>
      </c>
      <c r="B72">
        <v>10</v>
      </c>
      <c r="C72">
        <v>10</v>
      </c>
      <c r="D72">
        <v>10</v>
      </c>
      <c r="E72">
        <v>10</v>
      </c>
      <c r="F72">
        <v>10</v>
      </c>
      <c r="G72">
        <v>10</v>
      </c>
      <c r="H72">
        <v>10</v>
      </c>
      <c r="I72">
        <v>10</v>
      </c>
      <c r="J72">
        <v>10</v>
      </c>
      <c r="K72">
        <v>10</v>
      </c>
    </row>
    <row r="74" spans="1:11" x14ac:dyDescent="0.25">
      <c r="A74" s="9"/>
    </row>
    <row r="75" spans="1:11" x14ac:dyDescent="0.25">
      <c r="A75" s="9"/>
    </row>
    <row r="76" spans="1:11" x14ac:dyDescent="0.25">
      <c r="A76" s="9"/>
    </row>
    <row r="77" spans="1:11" x14ac:dyDescent="0.25">
      <c r="A77" s="9"/>
    </row>
    <row r="78" spans="1:11" x14ac:dyDescent="0.25">
      <c r="A78" s="9"/>
    </row>
    <row r="79" spans="1:11" x14ac:dyDescent="0.25">
      <c r="A79" s="9"/>
    </row>
    <row r="80" spans="1:11" x14ac:dyDescent="0.25">
      <c r="A80" s="1" t="s">
        <v>41</v>
      </c>
    </row>
    <row r="81" spans="1:11" s="24" customFormat="1" x14ac:dyDescent="0.25">
      <c r="A81" s="23" t="s">
        <v>38</v>
      </c>
      <c r="B81" s="16">
        <v>42460</v>
      </c>
      <c r="C81" s="16">
        <v>42825</v>
      </c>
      <c r="D81" s="16">
        <v>43190</v>
      </c>
      <c r="E81" s="16">
        <v>43555</v>
      </c>
      <c r="F81" s="16">
        <v>43921</v>
      </c>
      <c r="G81" s="16">
        <v>44286</v>
      </c>
      <c r="H81" s="16">
        <v>44651</v>
      </c>
      <c r="I81" s="16">
        <v>45016</v>
      </c>
      <c r="J81" s="16">
        <v>45382</v>
      </c>
      <c r="K81" s="16">
        <v>45747</v>
      </c>
    </row>
    <row r="82" spans="1:11" s="1" customFormat="1" x14ac:dyDescent="0.25">
      <c r="A82" s="9" t="s">
        <v>32</v>
      </c>
      <c r="B82">
        <v>4525.51</v>
      </c>
      <c r="C82">
        <v>5005.0200000000004</v>
      </c>
      <c r="D82">
        <v>3887.72</v>
      </c>
      <c r="E82">
        <v>5956.11</v>
      </c>
      <c r="F82">
        <v>8972.43</v>
      </c>
      <c r="G82">
        <v>12500.43</v>
      </c>
      <c r="H82">
        <v>9283.24</v>
      </c>
      <c r="I82">
        <v>9068.51</v>
      </c>
      <c r="J82">
        <v>10897.54</v>
      </c>
      <c r="K82">
        <v>10673.43</v>
      </c>
    </row>
    <row r="83" spans="1:11" s="9" customFormat="1" x14ac:dyDescent="0.25">
      <c r="A83" s="9" t="s">
        <v>33</v>
      </c>
      <c r="B83">
        <v>-3673.35</v>
      </c>
      <c r="C83">
        <v>-2501.44</v>
      </c>
      <c r="D83">
        <v>1865.72</v>
      </c>
      <c r="E83">
        <v>1165.18</v>
      </c>
      <c r="F83">
        <v>-4191.95</v>
      </c>
      <c r="G83">
        <v>-8856.15</v>
      </c>
      <c r="H83">
        <v>2256.54</v>
      </c>
      <c r="I83">
        <v>-7187.68</v>
      </c>
      <c r="J83">
        <v>-8788.68</v>
      </c>
      <c r="K83">
        <v>-15835.56</v>
      </c>
    </row>
    <row r="84" spans="1:11" s="9" customFormat="1" x14ac:dyDescent="0.25">
      <c r="A84" s="9" t="s">
        <v>34</v>
      </c>
      <c r="B84">
        <v>-844.02</v>
      </c>
      <c r="C84">
        <v>-2534.98</v>
      </c>
      <c r="D84">
        <v>-5735.05</v>
      </c>
      <c r="E84">
        <v>-6757.24</v>
      </c>
      <c r="F84">
        <v>-5075.88</v>
      </c>
      <c r="G84">
        <v>-4356.47</v>
      </c>
      <c r="H84">
        <v>-12497.93</v>
      </c>
      <c r="I84">
        <v>-1631</v>
      </c>
      <c r="J84">
        <v>-1925.65</v>
      </c>
      <c r="K84">
        <v>5075.76</v>
      </c>
    </row>
    <row r="85" spans="1:11" s="1" customFormat="1" x14ac:dyDescent="0.25">
      <c r="A85" s="9" t="s">
        <v>35</v>
      </c>
      <c r="B85">
        <v>8.14</v>
      </c>
      <c r="C85">
        <v>-31.4</v>
      </c>
      <c r="D85">
        <v>18.39</v>
      </c>
      <c r="E85">
        <v>364.05</v>
      </c>
      <c r="F85">
        <v>-295.39999999999998</v>
      </c>
      <c r="G85">
        <v>-712.19</v>
      </c>
      <c r="H85">
        <v>-958.15</v>
      </c>
      <c r="I85">
        <v>249.83</v>
      </c>
      <c r="J85">
        <v>183.21</v>
      </c>
      <c r="K85">
        <v>-86.37</v>
      </c>
    </row>
    <row r="86" spans="1:11" x14ac:dyDescent="0.25">
      <c r="A86" s="9"/>
    </row>
    <row r="87" spans="1:11" x14ac:dyDescent="0.25">
      <c r="A87" s="9"/>
    </row>
    <row r="88" spans="1:11" x14ac:dyDescent="0.25">
      <c r="A88" s="9"/>
    </row>
    <row r="89" spans="1:11" x14ac:dyDescent="0.25">
      <c r="A89" s="9"/>
    </row>
    <row r="90" spans="1:11" s="1" customFormat="1" x14ac:dyDescent="0.25">
      <c r="A90" s="1" t="s">
        <v>77</v>
      </c>
      <c r="B90">
        <v>3228.75</v>
      </c>
      <c r="C90">
        <v>3984.75</v>
      </c>
      <c r="D90">
        <v>3950</v>
      </c>
      <c r="E90">
        <v>3998.35</v>
      </c>
      <c r="F90">
        <v>3244.85</v>
      </c>
      <c r="G90">
        <v>6737.95</v>
      </c>
      <c r="H90">
        <v>6602.3</v>
      </c>
      <c r="I90">
        <v>7622.15</v>
      </c>
      <c r="J90">
        <v>9749.15</v>
      </c>
      <c r="K90">
        <v>11509.55</v>
      </c>
    </row>
    <row r="92" spans="1:11" s="1" customFormat="1" x14ac:dyDescent="0.25">
      <c r="A92" s="1" t="s">
        <v>76</v>
      </c>
    </row>
    <row r="93" spans="1:11" x14ac:dyDescent="0.25">
      <c r="A93" s="5" t="s">
        <v>89</v>
      </c>
      <c r="B93" s="31">
        <v>27.44</v>
      </c>
      <c r="C93" s="31">
        <v>27.45</v>
      </c>
      <c r="D93" s="31">
        <v>27.46</v>
      </c>
      <c r="E93" s="31">
        <v>27.46</v>
      </c>
      <c r="F93" s="31">
        <v>28.86</v>
      </c>
      <c r="G93" s="31">
        <v>28.87</v>
      </c>
      <c r="H93" s="31">
        <v>28.87</v>
      </c>
      <c r="I93" s="31">
        <v>28.87</v>
      </c>
      <c r="J93" s="31">
        <v>28.87</v>
      </c>
      <c r="K93" s="31">
        <v>29.47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66ED-5532-4F21-8373-61CB25A23FA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F473-C0C6-48B2-B1FF-2E35C3428B63}">
  <dimension ref="A1:I56"/>
  <sheetViews>
    <sheetView topLeftCell="A32" zoomScale="95" zoomScaleNormal="95" workbookViewId="0">
      <selection activeCell="L9" sqref="L9"/>
    </sheetView>
  </sheetViews>
  <sheetFormatPr defaultRowHeight="15" x14ac:dyDescent="0.25"/>
  <cols>
    <col min="1" max="1" width="24.42578125" bestFit="1" customWidth="1"/>
    <col min="2" max="6" width="18.7109375" customWidth="1"/>
  </cols>
  <sheetData>
    <row r="1" spans="1:6" ht="18.75" x14ac:dyDescent="0.3">
      <c r="A1" s="33" t="s">
        <v>93</v>
      </c>
    </row>
    <row r="2" spans="1:6" x14ac:dyDescent="0.25">
      <c r="F2" t="s">
        <v>235</v>
      </c>
    </row>
    <row r="3" spans="1:6" ht="18.75" x14ac:dyDescent="0.3">
      <c r="A3" s="34" t="s">
        <v>94</v>
      </c>
      <c r="B3" s="35">
        <f>'Data Sheet'!G16</f>
        <v>44286</v>
      </c>
      <c r="C3" s="35">
        <f>'Data Sheet'!H16</f>
        <v>44651</v>
      </c>
      <c r="D3" s="35">
        <f>'Data Sheet'!I16</f>
        <v>45016</v>
      </c>
      <c r="E3" s="35">
        <f>'Data Sheet'!J16</f>
        <v>45382</v>
      </c>
      <c r="F3" s="35">
        <f>'Data Sheet'!K16</f>
        <v>45747</v>
      </c>
    </row>
    <row r="5" spans="1:6" x14ac:dyDescent="0.25">
      <c r="A5" t="s">
        <v>95</v>
      </c>
      <c r="B5" s="36">
        <f>'Data Sheet'!G17</f>
        <v>44725.8</v>
      </c>
      <c r="C5" s="36">
        <f>'Data Sheet'!H17</f>
        <v>52598.83</v>
      </c>
      <c r="D5" s="36">
        <f>'Data Sheet'!I17</f>
        <v>63239.98</v>
      </c>
      <c r="E5" s="36">
        <f>'Data Sheet'!J17</f>
        <v>70908.14</v>
      </c>
      <c r="F5" s="36">
        <f>'Data Sheet'!K17</f>
        <v>75955.13</v>
      </c>
    </row>
    <row r="6" spans="1:6" x14ac:dyDescent="0.25">
      <c r="A6" s="38" t="s">
        <v>22</v>
      </c>
      <c r="C6" s="37">
        <f>C5/B5-1</f>
        <v>0.17602882452633595</v>
      </c>
      <c r="D6" s="37">
        <f t="shared" ref="D6:F6" si="0">D5/C5-1</f>
        <v>0.20230773194004503</v>
      </c>
      <c r="E6" s="37">
        <f t="shared" si="0"/>
        <v>0.12125494030833028</v>
      </c>
      <c r="F6" s="37">
        <f t="shared" si="0"/>
        <v>7.117645449450527E-2</v>
      </c>
    </row>
    <row r="7" spans="1:6" x14ac:dyDescent="0.25">
      <c r="A7" s="41" t="s">
        <v>9</v>
      </c>
      <c r="B7">
        <f>'Data Sheet'!G25</f>
        <v>618.52</v>
      </c>
      <c r="C7">
        <f>'Data Sheet'!H25</f>
        <v>669.43</v>
      </c>
      <c r="D7">
        <f>'Data Sheet'!I25</f>
        <v>507.11</v>
      </c>
      <c r="E7">
        <f>'Data Sheet'!J25</f>
        <v>556.96</v>
      </c>
      <c r="F7">
        <f>'Data Sheet'!K25</f>
        <v>396.74</v>
      </c>
    </row>
    <row r="8" spans="1:6" x14ac:dyDescent="0.25">
      <c r="A8" s="42" t="s">
        <v>107</v>
      </c>
      <c r="B8" s="40">
        <f>B5+B7</f>
        <v>45344.32</v>
      </c>
      <c r="C8" s="40">
        <f t="shared" ref="C8:F8" si="1">C5+C7</f>
        <v>53268.26</v>
      </c>
      <c r="D8" s="40">
        <f t="shared" si="1"/>
        <v>63747.090000000004</v>
      </c>
      <c r="E8" s="40">
        <f t="shared" si="1"/>
        <v>71465.100000000006</v>
      </c>
      <c r="F8" s="40">
        <f t="shared" si="1"/>
        <v>76351.87000000001</v>
      </c>
    </row>
    <row r="9" spans="1:6" x14ac:dyDescent="0.25">
      <c r="A9" t="s">
        <v>96</v>
      </c>
      <c r="B9" s="36">
        <f>IFERROR(SUM('Data Sheet'!G18,'Data Sheet'!G20,'Data Sheet'!G21,'Data Sheet'!G22-1*'Data Sheet'!G19),0)</f>
        <v>20847.7</v>
      </c>
      <c r="C9" s="36">
        <f>IFERROR(SUM('Data Sheet'!H18,'Data Sheet'!H20,'Data Sheet'!H21,'Data Sheet'!H22-1*'Data Sheet'!H19),0)</f>
        <v>26536.920000000002</v>
      </c>
      <c r="D9" s="36">
        <f>IFERROR(SUM('Data Sheet'!I18,'Data Sheet'!I20,'Data Sheet'!I21,'Data Sheet'!I22-1*'Data Sheet'!I19),0)</f>
        <v>35301.93</v>
      </c>
      <c r="E9" s="36">
        <f>IFERROR(SUM('Data Sheet'!J18,'Data Sheet'!J20,'Data Sheet'!J21,'Data Sheet'!J22-1*'Data Sheet'!J19),0)</f>
        <v>38136.400000000001</v>
      </c>
      <c r="F9" s="36">
        <f>IFERROR(SUM('Data Sheet'!K18,'Data Sheet'!K20,'Data Sheet'!K21,'Data Sheet'!K22-1*'Data Sheet'!K19),0)</f>
        <v>41216.74</v>
      </c>
    </row>
    <row r="10" spans="1:6" x14ac:dyDescent="0.25">
      <c r="A10" s="38" t="s">
        <v>104</v>
      </c>
      <c r="B10" s="37">
        <f>B9/B5</f>
        <v>0.46612246175585453</v>
      </c>
      <c r="C10" s="37">
        <f t="shared" ref="C10:F10" si="2">C9/C5</f>
        <v>0.50451540462021682</v>
      </c>
      <c r="D10" s="37">
        <f t="shared" si="2"/>
        <v>0.55822171354260386</v>
      </c>
      <c r="E10" s="37">
        <f t="shared" si="2"/>
        <v>0.53782823805560265</v>
      </c>
      <c r="F10" s="37">
        <f t="shared" si="2"/>
        <v>0.54264590160006299</v>
      </c>
    </row>
    <row r="11" spans="1:6" x14ac:dyDescent="0.25">
      <c r="A11" s="32" t="s">
        <v>97</v>
      </c>
      <c r="B11" s="40">
        <f>B5-B9</f>
        <v>23878.100000000002</v>
      </c>
      <c r="C11" s="40">
        <f t="shared" ref="C11:F11" si="3">C5-C9</f>
        <v>26061.91</v>
      </c>
      <c r="D11" s="40">
        <f t="shared" si="3"/>
        <v>27938.050000000003</v>
      </c>
      <c r="E11" s="40">
        <f t="shared" si="3"/>
        <v>32771.74</v>
      </c>
      <c r="F11" s="40">
        <f t="shared" si="3"/>
        <v>34738.390000000007</v>
      </c>
    </row>
    <row r="12" spans="1:6" x14ac:dyDescent="0.25">
      <c r="A12" s="38" t="s">
        <v>105</v>
      </c>
      <c r="B12" s="37">
        <f>B11/B5</f>
        <v>0.53387753824414541</v>
      </c>
      <c r="C12" s="37">
        <f t="shared" ref="C12:F12" si="4">C11/C5</f>
        <v>0.49548459537978312</v>
      </c>
      <c r="D12" s="37">
        <f t="shared" si="4"/>
        <v>0.44177828645739614</v>
      </c>
      <c r="E12" s="37">
        <f t="shared" si="4"/>
        <v>0.46217176194439735</v>
      </c>
      <c r="F12" s="37">
        <f t="shared" si="4"/>
        <v>0.45735409839993696</v>
      </c>
    </row>
    <row r="13" spans="1:6" x14ac:dyDescent="0.25">
      <c r="A13" t="s">
        <v>98</v>
      </c>
      <c r="B13" s="36">
        <f>IFERROR(SUM('Data Sheet'!G23:G24),0)</f>
        <v>12310.19</v>
      </c>
      <c r="C13" s="36">
        <f>IFERROR(SUM('Data Sheet'!H23:H24),0)</f>
        <v>14547.56</v>
      </c>
      <c r="D13" s="36">
        <f>IFERROR(SUM('Data Sheet'!I23:I24),0)</f>
        <v>17318.2</v>
      </c>
      <c r="E13" s="36">
        <f>IFERROR(SUM('Data Sheet'!J23:J24),0)</f>
        <v>19793.18</v>
      </c>
      <c r="F13" s="36">
        <f>IFERROR(SUM('Data Sheet'!K23:K24),0)</f>
        <v>21941.510000000002</v>
      </c>
    </row>
    <row r="14" spans="1:6" x14ac:dyDescent="0.25">
      <c r="A14" s="38" t="s">
        <v>106</v>
      </c>
      <c r="B14" s="37">
        <f>B13/B5</f>
        <v>0.27523688788126766</v>
      </c>
      <c r="C14" s="37">
        <f t="shared" ref="C14:F14" si="5">C13/C5</f>
        <v>0.27657573371879185</v>
      </c>
      <c r="D14" s="37">
        <f t="shared" si="5"/>
        <v>0.27384891646075787</v>
      </c>
      <c r="E14" s="37">
        <f t="shared" si="5"/>
        <v>0.27913833306021002</v>
      </c>
      <c r="F14" s="37">
        <f t="shared" si="5"/>
        <v>0.28887462900794192</v>
      </c>
    </row>
    <row r="15" spans="1:6" x14ac:dyDescent="0.25">
      <c r="A15" s="32" t="s">
        <v>99</v>
      </c>
      <c r="B15" s="40">
        <f>B11-B13</f>
        <v>11567.910000000002</v>
      </c>
      <c r="C15" s="40">
        <f t="shared" ref="C15:F15" si="6">C11-C13</f>
        <v>11514.35</v>
      </c>
      <c r="D15" s="40">
        <f t="shared" si="6"/>
        <v>10619.850000000002</v>
      </c>
      <c r="E15" s="40">
        <f t="shared" si="6"/>
        <v>12978.559999999998</v>
      </c>
      <c r="F15" s="40">
        <f t="shared" si="6"/>
        <v>12796.880000000005</v>
      </c>
    </row>
    <row r="16" spans="1:6" x14ac:dyDescent="0.25">
      <c r="A16" s="38" t="s">
        <v>108</v>
      </c>
      <c r="B16" s="39">
        <f>B15/B5</f>
        <v>0.25864065036287781</v>
      </c>
      <c r="C16" s="39">
        <f t="shared" ref="C16:F16" si="7">C15/C5</f>
        <v>0.21890886166099133</v>
      </c>
      <c r="D16" s="39">
        <f t="shared" si="7"/>
        <v>0.16792936999663824</v>
      </c>
      <c r="E16" s="39">
        <f t="shared" si="7"/>
        <v>0.1830334288841873</v>
      </c>
      <c r="F16" s="39">
        <f t="shared" si="7"/>
        <v>0.16847946939199504</v>
      </c>
    </row>
    <row r="17" spans="1:8" x14ac:dyDescent="0.25">
      <c r="A17" t="s">
        <v>100</v>
      </c>
      <c r="B17" s="36">
        <f>IFERROR('Data Sheet'!G26,0)</f>
        <v>2700.23</v>
      </c>
      <c r="C17" s="36">
        <f>IFERROR('Data Sheet'!H26,0)</f>
        <v>2714.75</v>
      </c>
      <c r="D17" s="36">
        <f>IFERROR('Data Sheet'!I26,0)</f>
        <v>2887.99</v>
      </c>
      <c r="E17" s="36">
        <f>IFERROR('Data Sheet'!J26,0)</f>
        <v>3145.3</v>
      </c>
      <c r="F17" s="36">
        <f>IFERROR('Data Sheet'!K26,0)</f>
        <v>4014.95</v>
      </c>
    </row>
    <row r="18" spans="1:8" x14ac:dyDescent="0.25">
      <c r="A18" s="38" t="s">
        <v>109</v>
      </c>
      <c r="B18" s="37">
        <f>B17/B5</f>
        <v>6.0372983825890202E-2</v>
      </c>
      <c r="C18" s="37">
        <f t="shared" ref="C18:F18" si="8">C17/C5</f>
        <v>5.161236476172569E-2</v>
      </c>
      <c r="D18" s="37">
        <f t="shared" si="8"/>
        <v>4.566715549245904E-2</v>
      </c>
      <c r="E18" s="37">
        <f t="shared" si="8"/>
        <v>4.4357389715764653E-2</v>
      </c>
      <c r="F18" s="37">
        <f t="shared" si="8"/>
        <v>5.285949744276653E-2</v>
      </c>
    </row>
    <row r="19" spans="1:8" x14ac:dyDescent="0.25">
      <c r="A19" s="32" t="s">
        <v>101</v>
      </c>
      <c r="B19" s="40">
        <f>B15-B17</f>
        <v>8867.6800000000021</v>
      </c>
      <c r="C19" s="40">
        <f t="shared" ref="C19:F19" si="9">C15-C17</f>
        <v>8799.6</v>
      </c>
      <c r="D19" s="40">
        <f t="shared" si="9"/>
        <v>7731.8600000000024</v>
      </c>
      <c r="E19" s="40">
        <f t="shared" si="9"/>
        <v>9833.2599999999984</v>
      </c>
      <c r="F19" s="40">
        <f t="shared" si="9"/>
        <v>8781.9300000000039</v>
      </c>
    </row>
    <row r="20" spans="1:8" x14ac:dyDescent="0.25">
      <c r="A20" s="38" t="s">
        <v>110</v>
      </c>
      <c r="B20" s="37">
        <f>B19/B5</f>
        <v>0.19826766653698763</v>
      </c>
      <c r="C20" s="37">
        <f t="shared" ref="C20:F20" si="10">C19/C5</f>
        <v>0.16729649689926562</v>
      </c>
      <c r="D20" s="37">
        <f t="shared" si="10"/>
        <v>0.12226221450417919</v>
      </c>
      <c r="E20" s="37">
        <f t="shared" si="10"/>
        <v>0.13867603916842267</v>
      </c>
      <c r="F20" s="37">
        <f t="shared" si="10"/>
        <v>0.11561997194922849</v>
      </c>
    </row>
    <row r="21" spans="1:8" x14ac:dyDescent="0.25">
      <c r="A21" t="s">
        <v>11</v>
      </c>
      <c r="B21" s="36">
        <f>'Data Sheet'!G27</f>
        <v>1485.65</v>
      </c>
      <c r="C21" s="36">
        <f>'Data Sheet'!H27</f>
        <v>944.71</v>
      </c>
      <c r="D21" s="36">
        <f>'Data Sheet'!I27</f>
        <v>822.72</v>
      </c>
      <c r="E21" s="36">
        <f>'Data Sheet'!J27</f>
        <v>968</v>
      </c>
      <c r="F21" s="36">
        <f>'Data Sheet'!K27</f>
        <v>1650.54</v>
      </c>
    </row>
    <row r="22" spans="1:8" x14ac:dyDescent="0.25">
      <c r="A22" s="38" t="s">
        <v>111</v>
      </c>
      <c r="B22" s="37">
        <f>B21/B5</f>
        <v>3.3216845757929429E-2</v>
      </c>
      <c r="C22" s="37">
        <f t="shared" ref="C22:F22" si="11">C21/C5</f>
        <v>1.7960665664996732E-2</v>
      </c>
      <c r="D22" s="37">
        <f t="shared" si="11"/>
        <v>1.3009491780357931E-2</v>
      </c>
      <c r="E22" s="37">
        <f t="shared" si="11"/>
        <v>1.3651465120929698E-2</v>
      </c>
      <c r="F22" s="37">
        <f t="shared" si="11"/>
        <v>2.1730461128826976E-2</v>
      </c>
    </row>
    <row r="23" spans="1:8" x14ac:dyDescent="0.25">
      <c r="A23" s="32" t="s">
        <v>102</v>
      </c>
      <c r="B23" s="40">
        <f>B19-B21</f>
        <v>7382.0300000000025</v>
      </c>
      <c r="C23" s="40">
        <f t="shared" ref="C23:F23" si="12">C19-C21</f>
        <v>7854.89</v>
      </c>
      <c r="D23" s="40">
        <f t="shared" si="12"/>
        <v>6909.1400000000021</v>
      </c>
      <c r="E23" s="40">
        <f t="shared" si="12"/>
        <v>8865.2599999999984</v>
      </c>
      <c r="F23" s="40">
        <f t="shared" si="12"/>
        <v>7131.390000000004</v>
      </c>
    </row>
    <row r="24" spans="1:8" x14ac:dyDescent="0.25">
      <c r="A24" s="38" t="s">
        <v>112</v>
      </c>
      <c r="B24" s="37">
        <f>B23/B5</f>
        <v>0.16505082077905822</v>
      </c>
      <c r="C24" s="37">
        <f t="shared" ref="C24:F24" si="13">C23/C5</f>
        <v>0.14933583123426891</v>
      </c>
      <c r="D24" s="37">
        <f t="shared" si="13"/>
        <v>0.10925272272382126</v>
      </c>
      <c r="E24" s="37">
        <f t="shared" si="13"/>
        <v>0.12502457404749298</v>
      </c>
      <c r="F24" s="37">
        <f t="shared" si="13"/>
        <v>9.3889510820401506E-2</v>
      </c>
    </row>
    <row r="25" spans="1:8" x14ac:dyDescent="0.25">
      <c r="A25" t="s">
        <v>13</v>
      </c>
      <c r="B25" s="36">
        <f>IFERROR('Data Sheet'!G29,0)</f>
        <v>2538.6999999999998</v>
      </c>
      <c r="C25" s="36">
        <f>IFERROR('Data Sheet'!H29,0)</f>
        <v>1190.06</v>
      </c>
      <c r="D25" s="36">
        <f>IFERROR('Data Sheet'!I29,0)</f>
        <v>2342.85</v>
      </c>
      <c r="E25" s="36">
        <f>IFERROR('Data Sheet'!J29,0)</f>
        <v>2418.2600000000002</v>
      </c>
      <c r="F25" s="36">
        <f>IFERROR('Data Sheet'!K29,0)</f>
        <v>1488.49</v>
      </c>
    </row>
    <row r="26" spans="1:8" ht="15.75" thickBot="1" x14ac:dyDescent="0.3">
      <c r="A26" s="38" t="s">
        <v>113</v>
      </c>
      <c r="B26" s="37">
        <f>B25/B23</f>
        <v>0.34390269343256513</v>
      </c>
      <c r="C26" s="37">
        <f t="shared" ref="C26:F26" si="14">C25/C23</f>
        <v>0.15150562261215625</v>
      </c>
      <c r="D26" s="37">
        <f t="shared" si="14"/>
        <v>0.33909430117207051</v>
      </c>
      <c r="E26" s="37">
        <f t="shared" si="14"/>
        <v>0.27277936574900236</v>
      </c>
      <c r="F26" s="37">
        <f t="shared" si="14"/>
        <v>0.20872368500390515</v>
      </c>
      <c r="H26" s="58"/>
    </row>
    <row r="27" spans="1:8" ht="16.5" thickTop="1" thickBot="1" x14ac:dyDescent="0.3">
      <c r="A27" s="46" t="s">
        <v>103</v>
      </c>
      <c r="B27" s="47">
        <f>B23-B25</f>
        <v>4843.3300000000027</v>
      </c>
      <c r="C27" s="47">
        <f t="shared" ref="C27:F27" si="15">C23-C25</f>
        <v>6664.83</v>
      </c>
      <c r="D27" s="47">
        <f t="shared" si="15"/>
        <v>4566.2900000000027</v>
      </c>
      <c r="E27" s="47">
        <f t="shared" si="15"/>
        <v>6446.9999999999982</v>
      </c>
      <c r="F27" s="47">
        <f t="shared" si="15"/>
        <v>5642.9000000000042</v>
      </c>
    </row>
    <row r="28" spans="1:8" ht="15.75" thickTop="1" x14ac:dyDescent="0.25"/>
    <row r="29" spans="1:8" ht="21" x14ac:dyDescent="0.35">
      <c r="A29" s="44" t="s">
        <v>114</v>
      </c>
      <c r="B29" s="45">
        <f>'Data Sheet'!G56</f>
        <v>44286</v>
      </c>
      <c r="C29" s="45">
        <f>'Data Sheet'!H56</f>
        <v>44651</v>
      </c>
      <c r="D29" s="45">
        <f>'Data Sheet'!I56</f>
        <v>45016</v>
      </c>
      <c r="E29" s="45">
        <f>'Data Sheet'!J56</f>
        <v>45382</v>
      </c>
      <c r="F29" s="45">
        <f>'Data Sheet'!K56</f>
        <v>45747</v>
      </c>
    </row>
    <row r="31" spans="1:8" x14ac:dyDescent="0.25">
      <c r="A31" s="32" t="s">
        <v>115</v>
      </c>
    </row>
    <row r="32" spans="1:8" x14ac:dyDescent="0.25">
      <c r="A32" t="s">
        <v>116</v>
      </c>
      <c r="B32" s="36">
        <f>IFERROR('Data Sheet'!G57,0)</f>
        <v>288.64999999999998</v>
      </c>
      <c r="C32" s="36">
        <f>IFERROR('Data Sheet'!H57,0)</f>
        <v>288.67</v>
      </c>
      <c r="D32" s="36">
        <f>IFERROR('Data Sheet'!I57,0)</f>
        <v>288.69</v>
      </c>
      <c r="E32" s="36">
        <f>IFERROR('Data Sheet'!J57,0)</f>
        <v>288.69</v>
      </c>
      <c r="F32" s="36">
        <f>IFERROR('Data Sheet'!K57,0)</f>
        <v>294.68</v>
      </c>
    </row>
    <row r="33" spans="1:9" x14ac:dyDescent="0.25">
      <c r="A33" t="s">
        <v>25</v>
      </c>
      <c r="B33" s="36">
        <f>IFERROR('Data Sheet'!G58,0)</f>
        <v>43886.03</v>
      </c>
      <c r="C33" s="36">
        <f>IFERROR('Data Sheet'!H58,0)</f>
        <v>50146.6</v>
      </c>
      <c r="D33" s="36">
        <f>IFERROR('Data Sheet'!I58,0)</f>
        <v>54035.85</v>
      </c>
      <c r="E33" s="36">
        <f>IFERROR('Data Sheet'!J58,0)</f>
        <v>59938.79</v>
      </c>
      <c r="F33" s="36">
        <f>IFERROR('Data Sheet'!K58,0)</f>
        <v>70412.09</v>
      </c>
    </row>
    <row r="34" spans="1:9" x14ac:dyDescent="0.25">
      <c r="A34" t="s">
        <v>71</v>
      </c>
      <c r="B34" s="36">
        <f>IFERROR('Data Sheet'!G59,0)</f>
        <v>21719.39</v>
      </c>
      <c r="C34" s="36">
        <f>IFERROR('Data Sheet'!H59,0)</f>
        <v>11298.8</v>
      </c>
      <c r="D34" s="36">
        <f>IFERROR('Data Sheet'!I59,0)</f>
        <v>11057.74</v>
      </c>
      <c r="E34" s="36">
        <f>IFERROR('Data Sheet'!J59,0)</f>
        <v>11402.95</v>
      </c>
      <c r="F34" s="36">
        <f>IFERROR('Data Sheet'!K59,0)</f>
        <v>24102.18</v>
      </c>
    </row>
    <row r="35" spans="1:9" ht="15.75" thickBot="1" x14ac:dyDescent="0.3">
      <c r="A35" t="s">
        <v>72</v>
      </c>
      <c r="B35" s="36">
        <f>IFERROR('Data Sheet'!G60,0)</f>
        <v>20282.28</v>
      </c>
      <c r="C35" s="36">
        <f>IFERROR('Data Sheet'!H60,0)</f>
        <v>22077.37</v>
      </c>
      <c r="D35" s="36">
        <f>IFERROR('Data Sheet'!I60,0)</f>
        <v>25998.12</v>
      </c>
      <c r="E35" s="36">
        <f>IFERROR('Data Sheet'!J60,0)</f>
        <v>29166.68</v>
      </c>
      <c r="F35" s="36">
        <f>IFERROR('Data Sheet'!K60,0)</f>
        <v>38823.11</v>
      </c>
    </row>
    <row r="36" spans="1:9" ht="15.75" thickBot="1" x14ac:dyDescent="0.3">
      <c r="A36" s="49" t="s">
        <v>117</v>
      </c>
      <c r="B36" s="50">
        <f>SUM(B32:B35)</f>
        <v>86176.35</v>
      </c>
      <c r="C36" s="50">
        <f t="shared" ref="C36:F36" si="16">SUM(C32:C35)</f>
        <v>83811.439999999988</v>
      </c>
      <c r="D36" s="50">
        <f t="shared" si="16"/>
        <v>91380.4</v>
      </c>
      <c r="E36" s="50">
        <f t="shared" si="16"/>
        <v>100797.11000000002</v>
      </c>
      <c r="F36" s="50">
        <f t="shared" si="16"/>
        <v>133632.06</v>
      </c>
    </row>
    <row r="38" spans="1:9" x14ac:dyDescent="0.25">
      <c r="A38" t="s">
        <v>118</v>
      </c>
      <c r="B38" s="36">
        <f>IFERROR('Data Sheet'!G62,0)</f>
        <v>55411.61</v>
      </c>
      <c r="C38" s="36">
        <f>IFERROR('Data Sheet'!H62,0)</f>
        <v>55487.57</v>
      </c>
      <c r="D38" s="36">
        <f>IFERROR('Data Sheet'!I62,0)</f>
        <v>59579</v>
      </c>
      <c r="E38" s="36">
        <f>IFERROR('Data Sheet'!J62,0)</f>
        <v>62877.61</v>
      </c>
      <c r="F38" s="36">
        <f>IFERROR('Data Sheet'!K62,0)</f>
        <v>94564.22</v>
      </c>
    </row>
    <row r="39" spans="1:9" x14ac:dyDescent="0.25">
      <c r="A39" t="s">
        <v>119</v>
      </c>
      <c r="B39" s="36">
        <f>IFERROR('Data Sheet'!G63,0)</f>
        <v>1686.68</v>
      </c>
      <c r="C39" s="36">
        <f>IFERROR('Data Sheet'!H63,0)</f>
        <v>4784.67</v>
      </c>
      <c r="D39" s="36">
        <f>IFERROR('Data Sheet'!I63,0)</f>
        <v>4040.39</v>
      </c>
      <c r="E39" s="36">
        <f>IFERROR('Data Sheet'!J63,0)</f>
        <v>6811.18</v>
      </c>
      <c r="F39" s="36">
        <f>IFERROR('Data Sheet'!K63,0)</f>
        <v>6234.19</v>
      </c>
    </row>
    <row r="40" spans="1:9" x14ac:dyDescent="0.25">
      <c r="A40" t="s">
        <v>120</v>
      </c>
      <c r="B40" s="36">
        <f>IFERROR('Data Sheet'!G64,0)</f>
        <v>12178.11</v>
      </c>
      <c r="C40" s="36">
        <f>IFERROR('Data Sheet'!H64,0)</f>
        <v>6335.77</v>
      </c>
      <c r="D40" s="36">
        <f>IFERROR('Data Sheet'!I64,0)</f>
        <v>7296.95</v>
      </c>
      <c r="E40" s="36">
        <f>IFERROR('Data Sheet'!J64,0)</f>
        <v>8248.9500000000007</v>
      </c>
      <c r="F40" s="36">
        <f>IFERROR('Data Sheet'!K64,0)</f>
        <v>5156.47</v>
      </c>
    </row>
    <row r="41" spans="1:9" x14ac:dyDescent="0.25">
      <c r="A41" t="s">
        <v>73</v>
      </c>
      <c r="B41" s="36">
        <f>IFERROR(SUM('Data Sheet'!G65-SUM('Data Sheet'!G67:G69)),0)</f>
        <v>8302.7000000000007</v>
      </c>
      <c r="C41" s="36">
        <f>IFERROR(SUM('Data Sheet'!H65-SUM('Data Sheet'!H67:H69)),0)</f>
        <v>8177.0599999999995</v>
      </c>
      <c r="D41" s="36">
        <f>IFERROR(SUM('Data Sheet'!I65-SUM('Data Sheet'!I67:I69)),0)</f>
        <v>8835.6200000000008</v>
      </c>
      <c r="E41" s="36">
        <f>IFERROR(SUM('Data Sheet'!J65-SUM('Data Sheet'!J67:J69)),0)</f>
        <v>9468.2599999999984</v>
      </c>
      <c r="F41" s="36">
        <f>IFERROR(SUM('Data Sheet'!K65-SUM('Data Sheet'!K67:K69)),0)</f>
        <v>10550.630000000001</v>
      </c>
    </row>
    <row r="42" spans="1:9" x14ac:dyDescent="0.25">
      <c r="A42" s="32" t="s">
        <v>121</v>
      </c>
      <c r="B42" s="48">
        <f>SUM(B38:B41)</f>
        <v>77579.099999999991</v>
      </c>
      <c r="C42" s="48">
        <f>SUM(C38:C41)</f>
        <v>74785.069999999992</v>
      </c>
      <c r="D42" s="48">
        <f>SUM(D38:D41)</f>
        <v>79751.959999999992</v>
      </c>
      <c r="E42" s="48">
        <f>SUM(E38:E41)</f>
        <v>87406</v>
      </c>
      <c r="F42" s="48">
        <f>SUM(F38:F41)</f>
        <v>116505.51000000001</v>
      </c>
    </row>
    <row r="44" spans="1:9" x14ac:dyDescent="0.25">
      <c r="A44" t="s">
        <v>78</v>
      </c>
      <c r="B44" s="36">
        <f>IFERROR('Data Sheet'!G67,0)</f>
        <v>2571.73</v>
      </c>
      <c r="C44" s="36">
        <f>IFERROR('Data Sheet'!H67,0)</f>
        <v>3071.61</v>
      </c>
      <c r="D44" s="36">
        <f>IFERROR('Data Sheet'!I67,0)</f>
        <v>3867.02</v>
      </c>
      <c r="E44" s="36">
        <f>IFERROR('Data Sheet'!J67,0)</f>
        <v>4278.16</v>
      </c>
      <c r="F44" s="36">
        <f>IFERROR('Data Sheet'!K67,0)</f>
        <v>5890.25</v>
      </c>
    </row>
    <row r="45" spans="1:9" x14ac:dyDescent="0.25">
      <c r="A45" s="38" t="s">
        <v>125</v>
      </c>
      <c r="B45" s="37">
        <f>B44/B5</f>
        <v>5.74999217453908E-2</v>
      </c>
      <c r="C45" s="37">
        <f>C44/C5</f>
        <v>5.8396926319463763E-2</v>
      </c>
      <c r="D45" s="37">
        <f>D44/D5</f>
        <v>6.114834318416925E-2</v>
      </c>
      <c r="E45" s="37">
        <f>E44/E5</f>
        <v>6.0333834733219627E-2</v>
      </c>
      <c r="F45" s="37">
        <f>F44/F5</f>
        <v>7.7549074038843716E-2</v>
      </c>
      <c r="H45" s="58"/>
    </row>
    <row r="46" spans="1:9" x14ac:dyDescent="0.25">
      <c r="A46" t="s">
        <v>122</v>
      </c>
      <c r="B46" s="36">
        <f>IFERROR('Data Sheet'!G68,0)</f>
        <v>4017.97</v>
      </c>
      <c r="C46" s="36">
        <f>IFERROR('Data Sheet'!H68,0)</f>
        <v>5595.58</v>
      </c>
      <c r="D46" s="36">
        <f>IFERROR('Data Sheet'!I68,0)</f>
        <v>6611.83</v>
      </c>
      <c r="E46" s="36">
        <f>IFERROR('Data Sheet'!J68,0)</f>
        <v>8329.74</v>
      </c>
      <c r="F46" s="36">
        <f>IFERROR('Data Sheet'!K68,0)</f>
        <v>9562.98</v>
      </c>
    </row>
    <row r="47" spans="1:9" x14ac:dyDescent="0.25">
      <c r="A47" s="38" t="s">
        <v>161</v>
      </c>
      <c r="B47" s="37">
        <f>B46/B9</f>
        <v>0.19272965363085615</v>
      </c>
      <c r="C47" s="37">
        <f>C46/C9</f>
        <v>0.21086019025568903</v>
      </c>
      <c r="D47" s="37">
        <f>D46/D9</f>
        <v>0.18729372586711265</v>
      </c>
      <c r="E47" s="37">
        <f>E46/E9</f>
        <v>0.21841967254381639</v>
      </c>
      <c r="F47" s="37">
        <f>F46/F9</f>
        <v>0.23201689410661785</v>
      </c>
      <c r="H47" s="58"/>
      <c r="I47" s="58"/>
    </row>
    <row r="48" spans="1:9" x14ac:dyDescent="0.25">
      <c r="A48" t="s">
        <v>87</v>
      </c>
      <c r="B48" s="36">
        <f>IFERROR('Data Sheet'!G69,0)</f>
        <v>2007.55</v>
      </c>
      <c r="C48" s="36">
        <f>IFERROR('Data Sheet'!H69,0)</f>
        <v>359.18</v>
      </c>
      <c r="D48" s="36">
        <f>IFERROR('Data Sheet'!I69,0)</f>
        <v>1149.5899999999999</v>
      </c>
      <c r="E48" s="36">
        <f>IFERROR('Data Sheet'!J69,0)</f>
        <v>783.21</v>
      </c>
      <c r="F48" s="36">
        <f>IFERROR('Data Sheet'!K69,0)</f>
        <v>1673.32</v>
      </c>
    </row>
    <row r="49" spans="1:8" ht="15.75" thickBot="1" x14ac:dyDescent="0.3">
      <c r="A49" s="32" t="s">
        <v>123</v>
      </c>
      <c r="B49" s="48">
        <f>SUM(B44,B46,B48)</f>
        <v>8597.25</v>
      </c>
      <c r="C49" s="48">
        <f t="shared" ref="C49:F49" si="17">SUM(C44,C46,C48)</f>
        <v>9026.3700000000008</v>
      </c>
      <c r="D49" s="48">
        <f t="shared" si="17"/>
        <v>11628.44</v>
      </c>
      <c r="E49" s="48">
        <f t="shared" si="17"/>
        <v>13391.11</v>
      </c>
      <c r="F49" s="48">
        <f t="shared" si="17"/>
        <v>17126.55</v>
      </c>
    </row>
    <row r="50" spans="1:8" ht="16.5" thickTop="1" thickBot="1" x14ac:dyDescent="0.3">
      <c r="A50" s="46" t="s">
        <v>124</v>
      </c>
      <c r="B50" s="51">
        <f>SUM(B42,B49)</f>
        <v>86176.349999999991</v>
      </c>
      <c r="C50" s="51">
        <f t="shared" ref="C50:F50" si="18">SUM(C42,C49)</f>
        <v>83811.439999999988</v>
      </c>
      <c r="D50" s="51">
        <f t="shared" si="18"/>
        <v>91380.4</v>
      </c>
      <c r="E50" s="51">
        <f t="shared" si="18"/>
        <v>100797.11</v>
      </c>
      <c r="F50" s="51">
        <f t="shared" si="18"/>
        <v>133632.06</v>
      </c>
    </row>
    <row r="51" spans="1:8" ht="15.75" thickTop="1" x14ac:dyDescent="0.25"/>
    <row r="52" spans="1:8" x14ac:dyDescent="0.25">
      <c r="A52" s="32" t="s">
        <v>70</v>
      </c>
      <c r="B52" s="48">
        <f>'Data Sheet'!G31</f>
        <v>1068</v>
      </c>
      <c r="C52" s="48">
        <f>'Data Sheet'!H31</f>
        <v>1096.95</v>
      </c>
      <c r="D52" s="48">
        <f>'Data Sheet'!I31</f>
        <v>1097.02</v>
      </c>
      <c r="E52" s="48">
        <f>'Data Sheet'!J31</f>
        <v>2020.83</v>
      </c>
      <c r="F52" s="48">
        <f>'Data Sheet'!K31</f>
        <v>2283.77</v>
      </c>
      <c r="H52" s="39"/>
    </row>
    <row r="53" spans="1:8" x14ac:dyDescent="0.25">
      <c r="A53" s="32" t="s">
        <v>168</v>
      </c>
      <c r="E53" s="40"/>
      <c r="F53" s="40">
        <f>F33+F27-F52</f>
        <v>73771.22</v>
      </c>
      <c r="H53" s="39"/>
    </row>
    <row r="54" spans="1:8" x14ac:dyDescent="0.25">
      <c r="H54" s="39"/>
    </row>
    <row r="55" spans="1:8" x14ac:dyDescent="0.25">
      <c r="H55" s="39"/>
    </row>
    <row r="56" spans="1:8" x14ac:dyDescent="0.25">
      <c r="H56" s="39"/>
    </row>
  </sheetData>
  <pageMargins left="0.7" right="0.7" top="0.75" bottom="0.75" header="0.3" footer="0.3"/>
  <ignoredErrors>
    <ignoredError sqref="B13:F1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D06D8-9AAE-493A-8A79-D8B7DC86E60E}">
  <dimension ref="A2:I64"/>
  <sheetViews>
    <sheetView workbookViewId="0">
      <selection activeCell="J14" sqref="J14"/>
    </sheetView>
  </sheetViews>
  <sheetFormatPr defaultRowHeight="15" x14ac:dyDescent="0.25"/>
  <cols>
    <col min="1" max="1" width="37.7109375" bestFit="1" customWidth="1"/>
    <col min="2" max="6" width="18.7109375" customWidth="1"/>
    <col min="7" max="7" width="20.7109375" bestFit="1" customWidth="1"/>
  </cols>
  <sheetData>
    <row r="2" spans="1:6" ht="18.75" x14ac:dyDescent="0.3">
      <c r="A2" s="44" t="s">
        <v>126</v>
      </c>
      <c r="B2" s="35">
        <v>46082</v>
      </c>
      <c r="C2" s="35">
        <v>46447</v>
      </c>
      <c r="D2" s="35">
        <v>46813</v>
      </c>
      <c r="E2" s="35">
        <v>47178</v>
      </c>
      <c r="F2" s="35">
        <v>11018</v>
      </c>
    </row>
    <row r="3" spans="1:6" ht="15.75" thickBot="1" x14ac:dyDescent="0.3"/>
    <row r="4" spans="1:6" ht="15.75" thickTop="1" x14ac:dyDescent="0.25">
      <c r="A4" s="62" t="s">
        <v>22</v>
      </c>
      <c r="B4" s="63" cm="1">
        <f t="array" ref="B4:F4">TRANSPOSE(D21:D25)</f>
        <v>0.12850793619864787</v>
      </c>
      <c r="C4" s="63">
        <v>9.4227450061900253E-2</v>
      </c>
      <c r="D4" s="63">
        <v>8.6113220845053684E-2</v>
      </c>
      <c r="E4" s="63">
        <v>7.9285675924332333E-2</v>
      </c>
      <c r="F4" s="64">
        <v>7.3461250985685123E-2</v>
      </c>
    </row>
    <row r="5" spans="1:6" x14ac:dyDescent="0.25">
      <c r="A5" s="59" t="s">
        <v>128</v>
      </c>
      <c r="B5" s="60" cm="1">
        <f t="array" ref="B5:F5">TRANSPOSE(D34:D38)</f>
        <v>0.56126306082506194</v>
      </c>
      <c r="C5" s="60">
        <v>0.56873216786744873</v>
      </c>
      <c r="D5" s="60">
        <v>0.57501688850902188</v>
      </c>
      <c r="E5" s="60">
        <v>0.58037824226974388</v>
      </c>
      <c r="F5" s="61">
        <v>0.58500579822662779</v>
      </c>
    </row>
    <row r="6" spans="1:6" x14ac:dyDescent="0.25">
      <c r="A6" s="59" t="s">
        <v>129</v>
      </c>
      <c r="B6" s="60">
        <v>0.25</v>
      </c>
      <c r="C6" s="60">
        <v>0.25</v>
      </c>
      <c r="D6" s="60">
        <v>0.25</v>
      </c>
      <c r="E6" s="60">
        <v>0.25</v>
      </c>
      <c r="F6" s="61">
        <v>0.25</v>
      </c>
    </row>
    <row r="7" spans="1:6" x14ac:dyDescent="0.25">
      <c r="A7" s="59" t="s">
        <v>130</v>
      </c>
      <c r="B7" s="60">
        <v>1.03</v>
      </c>
      <c r="C7" s="60">
        <v>1.03</v>
      </c>
      <c r="D7" s="60">
        <v>1.03</v>
      </c>
      <c r="E7" s="60">
        <v>1.03</v>
      </c>
      <c r="F7" s="61">
        <v>1.03</v>
      </c>
    </row>
    <row r="8" spans="1:6" x14ac:dyDescent="0.25">
      <c r="A8" s="59" t="s">
        <v>131</v>
      </c>
      <c r="B8" s="60">
        <v>0.28000000000000003</v>
      </c>
      <c r="C8" s="60">
        <v>0.28000000000000003</v>
      </c>
      <c r="D8" s="60">
        <v>0.28000000000000003</v>
      </c>
      <c r="E8" s="60">
        <v>0.28000000000000003</v>
      </c>
      <c r="F8" s="61">
        <v>0.28000000000000003</v>
      </c>
    </row>
    <row r="9" spans="1:6" x14ac:dyDescent="0.25">
      <c r="A9" s="59" t="s">
        <v>132</v>
      </c>
      <c r="B9" s="60">
        <v>0.05</v>
      </c>
      <c r="C9" s="60">
        <v>0.05</v>
      </c>
      <c r="D9" s="60">
        <v>0.05</v>
      </c>
      <c r="E9" s="60">
        <v>0.05</v>
      </c>
      <c r="F9" s="61">
        <v>0.05</v>
      </c>
    </row>
    <row r="10" spans="1:6" ht="15.75" thickBot="1" x14ac:dyDescent="0.3">
      <c r="A10" s="65" t="s">
        <v>133</v>
      </c>
      <c r="B10" s="66">
        <v>0.08</v>
      </c>
      <c r="C10" s="66">
        <v>0.08</v>
      </c>
      <c r="D10" s="66">
        <v>0.08</v>
      </c>
      <c r="E10" s="66">
        <v>0.08</v>
      </c>
      <c r="F10" s="82">
        <v>0.08</v>
      </c>
    </row>
    <row r="11" spans="1:6" ht="15.75" thickTop="1" x14ac:dyDescent="0.25"/>
    <row r="14" spans="1:6" x14ac:dyDescent="0.25">
      <c r="A14" s="32" t="s">
        <v>134</v>
      </c>
    </row>
    <row r="15" spans="1:6" x14ac:dyDescent="0.25">
      <c r="A15" s="32" t="s">
        <v>135</v>
      </c>
      <c r="B15" s="32" t="s">
        <v>136</v>
      </c>
      <c r="C15" s="32" t="s">
        <v>6</v>
      </c>
      <c r="D15" s="32" t="s">
        <v>22</v>
      </c>
    </row>
    <row r="16" spans="1:6" x14ac:dyDescent="0.25">
      <c r="A16">
        <v>1</v>
      </c>
      <c r="B16" s="43">
        <v>44286</v>
      </c>
      <c r="C16" s="36">
        <v>44725.8</v>
      </c>
      <c r="D16" s="39"/>
    </row>
    <row r="17" spans="1:5" x14ac:dyDescent="0.25">
      <c r="A17">
        <v>2</v>
      </c>
      <c r="B17" s="43">
        <v>44651</v>
      </c>
      <c r="C17" s="36">
        <v>52598.83</v>
      </c>
      <c r="D17" s="39">
        <v>0.17602882452633595</v>
      </c>
    </row>
    <row r="18" spans="1:5" x14ac:dyDescent="0.25">
      <c r="A18">
        <v>3</v>
      </c>
      <c r="B18" s="43">
        <v>45016</v>
      </c>
      <c r="C18" s="36">
        <v>63239.98</v>
      </c>
      <c r="D18" s="39">
        <v>0.20230773194004503</v>
      </c>
    </row>
    <row r="19" spans="1:5" x14ac:dyDescent="0.25">
      <c r="A19">
        <v>4</v>
      </c>
      <c r="B19" s="43">
        <v>45382</v>
      </c>
      <c r="C19" s="36">
        <v>70908.14</v>
      </c>
      <c r="D19" s="39">
        <v>0.12125494030833028</v>
      </c>
    </row>
    <row r="20" spans="1:5" x14ac:dyDescent="0.25">
      <c r="A20">
        <v>5</v>
      </c>
      <c r="B20" s="43">
        <v>45747</v>
      </c>
      <c r="C20" s="36">
        <v>75955.13</v>
      </c>
      <c r="D20" s="39">
        <v>7.117645449450527E-2</v>
      </c>
    </row>
    <row r="21" spans="1:5" x14ac:dyDescent="0.25">
      <c r="A21" s="52">
        <v>6</v>
      </c>
      <c r="B21" s="53">
        <v>46082</v>
      </c>
      <c r="C21" s="54">
        <f>FORECAST(A21,$C$16:$C$20,$A$16:$A$20)</f>
        <v>85715.967000000004</v>
      </c>
      <c r="D21" s="55">
        <f>C21/C20-1</f>
        <v>0.12850793619864787</v>
      </c>
    </row>
    <row r="22" spans="1:5" x14ac:dyDescent="0.25">
      <c r="A22" s="52">
        <v>7</v>
      </c>
      <c r="B22" s="53">
        <v>46447</v>
      </c>
      <c r="C22" s="54">
        <f t="shared" ref="C22:C25" si="0">FORECAST(A22,$C$16:$C$20,$A$16:$A$20)</f>
        <v>93792.763999999996</v>
      </c>
      <c r="D22" s="55">
        <f t="shared" ref="D22:D25" si="1">C22/C21-1</f>
        <v>9.4227450061900253E-2</v>
      </c>
    </row>
    <row r="23" spans="1:5" x14ac:dyDescent="0.25">
      <c r="A23" s="52">
        <v>8</v>
      </c>
      <c r="B23" s="53">
        <v>46813</v>
      </c>
      <c r="C23" s="54">
        <f t="shared" si="0"/>
        <v>101869.561</v>
      </c>
      <c r="D23" s="55">
        <f t="shared" si="1"/>
        <v>8.6113220845053684E-2</v>
      </c>
    </row>
    <row r="24" spans="1:5" x14ac:dyDescent="0.25">
      <c r="A24" s="52">
        <v>9</v>
      </c>
      <c r="B24" s="53">
        <v>47178</v>
      </c>
      <c r="C24" s="54">
        <f t="shared" si="0"/>
        <v>109946.35800000001</v>
      </c>
      <c r="D24" s="55">
        <f t="shared" si="1"/>
        <v>7.9285675924332333E-2</v>
      </c>
    </row>
    <row r="25" spans="1:5" x14ac:dyDescent="0.25">
      <c r="A25" s="52">
        <v>10</v>
      </c>
      <c r="B25" s="53">
        <v>11018</v>
      </c>
      <c r="C25" s="54">
        <f t="shared" si="0"/>
        <v>118023.155</v>
      </c>
      <c r="D25" s="55">
        <f t="shared" si="1"/>
        <v>7.3461250985685123E-2</v>
      </c>
    </row>
    <row r="27" spans="1:5" x14ac:dyDescent="0.25">
      <c r="A27" s="32" t="s">
        <v>137</v>
      </c>
    </row>
    <row r="28" spans="1:5" x14ac:dyDescent="0.25">
      <c r="A28" s="32" t="s">
        <v>135</v>
      </c>
      <c r="B28" s="32" t="s">
        <v>136</v>
      </c>
      <c r="C28" s="32" t="s">
        <v>127</v>
      </c>
      <c r="D28" s="32" t="s">
        <v>138</v>
      </c>
    </row>
    <row r="29" spans="1:5" x14ac:dyDescent="0.25">
      <c r="A29">
        <v>1</v>
      </c>
      <c r="B29" s="43">
        <v>44286</v>
      </c>
      <c r="C29" s="36">
        <v>20847.7</v>
      </c>
      <c r="D29" s="39">
        <v>0.46612246175585453</v>
      </c>
      <c r="E29" s="58"/>
    </row>
    <row r="30" spans="1:5" x14ac:dyDescent="0.25">
      <c r="A30">
        <v>2</v>
      </c>
      <c r="B30" s="43">
        <v>44651</v>
      </c>
      <c r="C30" s="36">
        <v>26536.920000000002</v>
      </c>
      <c r="D30" s="39">
        <v>0.50451540462021682</v>
      </c>
    </row>
    <row r="31" spans="1:5" x14ac:dyDescent="0.25">
      <c r="A31">
        <v>3</v>
      </c>
      <c r="B31" s="43">
        <v>45016</v>
      </c>
      <c r="C31" s="36">
        <v>35301.93</v>
      </c>
      <c r="D31" s="39">
        <v>0.55822171354260386</v>
      </c>
    </row>
    <row r="32" spans="1:5" x14ac:dyDescent="0.25">
      <c r="A32">
        <v>4</v>
      </c>
      <c r="B32" s="43">
        <v>45382</v>
      </c>
      <c r="C32" s="36">
        <v>38136.400000000001</v>
      </c>
      <c r="D32" s="39">
        <v>0.53782823805560265</v>
      </c>
    </row>
    <row r="33" spans="1:5" x14ac:dyDescent="0.25">
      <c r="A33">
        <v>5</v>
      </c>
      <c r="B33" s="43">
        <v>45747</v>
      </c>
      <c r="C33" s="36">
        <v>41216.74</v>
      </c>
      <c r="D33" s="39">
        <v>0.54264590160006299</v>
      </c>
    </row>
    <row r="34" spans="1:5" x14ac:dyDescent="0.25">
      <c r="A34" s="52">
        <v>6</v>
      </c>
      <c r="B34" s="53">
        <v>46082</v>
      </c>
      <c r="C34" s="54">
        <f>FORECAST(A34,$C$29:$C$33,$A$29:$A$33)</f>
        <v>48109.206000000006</v>
      </c>
      <c r="D34" s="55">
        <f>C34/C21</f>
        <v>0.56126306082506194</v>
      </c>
    </row>
    <row r="35" spans="1:5" x14ac:dyDescent="0.25">
      <c r="A35" s="52">
        <v>7</v>
      </c>
      <c r="B35" s="53">
        <v>46447</v>
      </c>
      <c r="C35" s="54">
        <f t="shared" ref="C35:C38" si="2">FORECAST(A35,$C$29:$C$33,$A$29:$A$33)</f>
        <v>53342.962</v>
      </c>
      <c r="D35" s="55">
        <f t="shared" ref="D35:D38" si="3">C35/C22</f>
        <v>0.56873216786744873</v>
      </c>
    </row>
    <row r="36" spans="1:5" x14ac:dyDescent="0.25">
      <c r="A36" s="52">
        <v>8</v>
      </c>
      <c r="B36" s="53">
        <v>46813</v>
      </c>
      <c r="C36" s="54">
        <f t="shared" si="2"/>
        <v>58576.718000000001</v>
      </c>
      <c r="D36" s="55">
        <f t="shared" si="3"/>
        <v>0.57501688850902188</v>
      </c>
    </row>
    <row r="37" spans="1:5" x14ac:dyDescent="0.25">
      <c r="A37" s="52">
        <v>9</v>
      </c>
      <c r="B37" s="53">
        <v>47178</v>
      </c>
      <c r="C37" s="54">
        <f t="shared" si="2"/>
        <v>63810.474000000002</v>
      </c>
      <c r="D37" s="55">
        <f t="shared" si="3"/>
        <v>0.58037824226974388</v>
      </c>
    </row>
    <row r="38" spans="1:5" x14ac:dyDescent="0.25">
      <c r="A38" s="52">
        <v>10</v>
      </c>
      <c r="B38" s="53">
        <v>11018</v>
      </c>
      <c r="C38" s="54">
        <f t="shared" si="2"/>
        <v>69044.23000000001</v>
      </c>
      <c r="D38" s="55">
        <f t="shared" si="3"/>
        <v>0.58500579822662779</v>
      </c>
    </row>
    <row r="40" spans="1:5" x14ac:dyDescent="0.25">
      <c r="A40" s="32" t="s">
        <v>139</v>
      </c>
    </row>
    <row r="41" spans="1:5" x14ac:dyDescent="0.25">
      <c r="A41" s="32" t="s">
        <v>135</v>
      </c>
      <c r="B41" s="32" t="s">
        <v>136</v>
      </c>
      <c r="C41" s="32" t="s">
        <v>140</v>
      </c>
      <c r="D41" s="32" t="s">
        <v>141</v>
      </c>
    </row>
    <row r="42" spans="1:5" x14ac:dyDescent="0.25">
      <c r="A42">
        <v>1</v>
      </c>
      <c r="B42" s="43">
        <v>44286</v>
      </c>
      <c r="C42" s="36">
        <v>12310.19</v>
      </c>
      <c r="D42" s="56">
        <v>0.27523688788126766</v>
      </c>
    </row>
    <row r="43" spans="1:5" x14ac:dyDescent="0.25">
      <c r="A43">
        <v>2</v>
      </c>
      <c r="B43" s="43">
        <v>44651</v>
      </c>
      <c r="C43" s="36">
        <v>14547.56</v>
      </c>
      <c r="D43" s="56">
        <v>0.27657573371879185</v>
      </c>
      <c r="E43" s="69">
        <f>AVERAGE(D42:D46)</f>
        <v>0.27873490002579382</v>
      </c>
    </row>
    <row r="44" spans="1:5" x14ac:dyDescent="0.25">
      <c r="A44">
        <v>3</v>
      </c>
      <c r="B44" s="43">
        <v>45016</v>
      </c>
      <c r="C44" s="36">
        <v>17318.2</v>
      </c>
      <c r="D44" s="56">
        <v>0.27384891646075787</v>
      </c>
    </row>
    <row r="45" spans="1:5" x14ac:dyDescent="0.25">
      <c r="A45">
        <v>4</v>
      </c>
      <c r="B45" s="43">
        <v>45382</v>
      </c>
      <c r="C45" s="36">
        <v>19793.18</v>
      </c>
      <c r="D45" s="56">
        <v>0.27913833306021002</v>
      </c>
    </row>
    <row r="46" spans="1:5" x14ac:dyDescent="0.25">
      <c r="A46">
        <v>5</v>
      </c>
      <c r="B46" s="43">
        <v>45747</v>
      </c>
      <c r="C46" s="36">
        <v>21941.510000000002</v>
      </c>
      <c r="D46" s="56">
        <v>0.28887462900794192</v>
      </c>
    </row>
    <row r="48" spans="1:5" ht="30" x14ac:dyDescent="0.25">
      <c r="A48" s="57" t="s">
        <v>142</v>
      </c>
    </row>
    <row r="49" spans="1:9" x14ac:dyDescent="0.25">
      <c r="A49" s="32" t="s">
        <v>135</v>
      </c>
      <c r="B49" s="32" t="s">
        <v>136</v>
      </c>
      <c r="C49" s="32" t="s">
        <v>10</v>
      </c>
      <c r="D49" s="32" t="s">
        <v>143</v>
      </c>
      <c r="F49" s="32" t="s">
        <v>145</v>
      </c>
      <c r="G49" s="32" t="s">
        <v>147</v>
      </c>
    </row>
    <row r="50" spans="1:9" x14ac:dyDescent="0.25">
      <c r="A50">
        <v>1</v>
      </c>
      <c r="B50" s="43">
        <v>44286</v>
      </c>
      <c r="C50" s="36">
        <v>2700.23</v>
      </c>
      <c r="D50" s="39">
        <f>C50/F50</f>
        <v>4.8730401444751381E-2</v>
      </c>
      <c r="E50" s="58"/>
      <c r="F50" s="36">
        <v>55411.61</v>
      </c>
      <c r="G50" s="39">
        <f>F50/C16</f>
        <v>1.2389182529993874</v>
      </c>
      <c r="H50" s="58"/>
    </row>
    <row r="51" spans="1:9" x14ac:dyDescent="0.25">
      <c r="A51">
        <v>2</v>
      </c>
      <c r="B51" s="43">
        <v>44651</v>
      </c>
      <c r="C51" s="36">
        <v>2714.75</v>
      </c>
      <c r="D51" s="39">
        <f t="shared" ref="D51:D54" si="4">C51/F51</f>
        <v>4.892537193465131E-2</v>
      </c>
      <c r="E51" s="69">
        <f>AVERAGE(D50:D54)</f>
        <v>4.7721805376598113E-2</v>
      </c>
      <c r="F51" s="36">
        <v>55487.57</v>
      </c>
      <c r="G51" s="39">
        <f t="shared" ref="G51:G54" si="5">F51/C17</f>
        <v>1.0549202330165899</v>
      </c>
      <c r="H51" s="69">
        <v>1.03</v>
      </c>
      <c r="I51" s="58"/>
    </row>
    <row r="52" spans="1:9" x14ac:dyDescent="0.25">
      <c r="A52">
        <v>3</v>
      </c>
      <c r="B52" s="43">
        <v>45016</v>
      </c>
      <c r="C52" s="36">
        <v>2887.99</v>
      </c>
      <c r="D52" s="39">
        <f t="shared" si="4"/>
        <v>4.8473287567767163E-2</v>
      </c>
      <c r="F52" s="36">
        <v>59579</v>
      </c>
      <c r="G52" s="39">
        <f t="shared" si="5"/>
        <v>0.94210972236234103</v>
      </c>
    </row>
    <row r="53" spans="1:9" x14ac:dyDescent="0.25">
      <c r="A53">
        <v>4</v>
      </c>
      <c r="B53" s="43">
        <v>45382</v>
      </c>
      <c r="C53" s="36">
        <v>3145.3</v>
      </c>
      <c r="D53" s="39">
        <f t="shared" si="4"/>
        <v>5.0022575603621069E-2</v>
      </c>
      <c r="F53" s="36">
        <v>62877.61</v>
      </c>
      <c r="G53" s="39">
        <f t="shared" si="5"/>
        <v>0.88674741715126082</v>
      </c>
    </row>
    <row r="54" spans="1:9" x14ac:dyDescent="0.25">
      <c r="A54">
        <v>5</v>
      </c>
      <c r="B54" s="43">
        <v>45747</v>
      </c>
      <c r="C54" s="36">
        <v>4014.95</v>
      </c>
      <c r="D54" s="39">
        <f t="shared" si="4"/>
        <v>4.245739033219964E-2</v>
      </c>
      <c r="F54" s="36">
        <v>94564.22</v>
      </c>
      <c r="G54" s="39">
        <f t="shared" si="5"/>
        <v>1.2450010947252674</v>
      </c>
    </row>
    <row r="56" spans="1:9" ht="30" x14ac:dyDescent="0.25">
      <c r="A56" s="57" t="s">
        <v>144</v>
      </c>
    </row>
    <row r="57" spans="1:9" x14ac:dyDescent="0.25">
      <c r="A57" s="32" t="s">
        <v>135</v>
      </c>
      <c r="B57" s="32" t="s">
        <v>136</v>
      </c>
      <c r="C57" s="32" t="s">
        <v>146</v>
      </c>
      <c r="D57" s="32" t="s">
        <v>149</v>
      </c>
      <c r="F57" s="32" t="s">
        <v>148</v>
      </c>
    </row>
    <row r="58" spans="1:9" x14ac:dyDescent="0.25">
      <c r="A58">
        <v>1</v>
      </c>
      <c r="B58" s="43">
        <v>44286</v>
      </c>
      <c r="C58" s="36">
        <v>1485.65</v>
      </c>
      <c r="D58" s="39">
        <f>C58/F58</f>
        <v>6.8402013132044692E-2</v>
      </c>
      <c r="F58" s="36">
        <v>21719.39</v>
      </c>
    </row>
    <row r="59" spans="1:9" x14ac:dyDescent="0.25">
      <c r="A59">
        <v>2</v>
      </c>
      <c r="B59" s="43">
        <v>44651</v>
      </c>
      <c r="C59" s="36">
        <v>944.71</v>
      </c>
      <c r="D59" s="39">
        <f t="shared" ref="D59:D62" si="6">C59/F59</f>
        <v>8.3611533968209029E-2</v>
      </c>
      <c r="E59" s="69">
        <f>AVERAGE(D58:D62)</f>
        <v>7.5957397281505135E-2</v>
      </c>
      <c r="F59" s="36">
        <v>11298.8</v>
      </c>
    </row>
    <row r="60" spans="1:9" x14ac:dyDescent="0.25">
      <c r="A60">
        <v>3</v>
      </c>
      <c r="B60" s="43">
        <v>45016</v>
      </c>
      <c r="C60" s="36">
        <v>822.72</v>
      </c>
      <c r="D60" s="39">
        <f t="shared" si="6"/>
        <v>7.4402183447974002E-2</v>
      </c>
      <c r="F60" s="36">
        <v>11057.74</v>
      </c>
    </row>
    <row r="61" spans="1:9" x14ac:dyDescent="0.25">
      <c r="A61">
        <v>4</v>
      </c>
      <c r="B61" s="43">
        <v>45382</v>
      </c>
      <c r="C61" s="36">
        <v>968</v>
      </c>
      <c r="D61" s="39">
        <f t="shared" si="6"/>
        <v>8.4890313471513948E-2</v>
      </c>
      <c r="F61" s="36">
        <v>11402.95</v>
      </c>
    </row>
    <row r="62" spans="1:9" x14ac:dyDescent="0.25">
      <c r="A62">
        <v>5</v>
      </c>
      <c r="B62" s="43">
        <v>45747</v>
      </c>
      <c r="C62" s="36">
        <v>1650.54</v>
      </c>
      <c r="D62" s="39">
        <f t="shared" si="6"/>
        <v>6.8480942387784002E-2</v>
      </c>
      <c r="F62" s="36">
        <v>24102.18</v>
      </c>
    </row>
    <row r="64" spans="1:9" x14ac:dyDescent="0.25">
      <c r="A64" s="32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0869D-BDF7-497C-B174-D95F5A641054}">
  <dimension ref="A1:F19"/>
  <sheetViews>
    <sheetView workbookViewId="0">
      <selection activeCell="K14" sqref="K14"/>
    </sheetView>
  </sheetViews>
  <sheetFormatPr defaultRowHeight="15" x14ac:dyDescent="0.25"/>
  <cols>
    <col min="1" max="1" width="45.7109375" bestFit="1" customWidth="1"/>
    <col min="2" max="6" width="18.7109375" customWidth="1"/>
  </cols>
  <sheetData>
    <row r="1" spans="1:6" x14ac:dyDescent="0.25">
      <c r="F1" t="s">
        <v>235</v>
      </c>
    </row>
    <row r="2" spans="1:6" ht="18.75" x14ac:dyDescent="0.3">
      <c r="A2" s="44" t="s">
        <v>164</v>
      </c>
      <c r="B2" s="35">
        <v>46082</v>
      </c>
      <c r="C2" s="35">
        <v>46447</v>
      </c>
      <c r="D2" s="35">
        <v>46813</v>
      </c>
      <c r="E2" s="35">
        <v>47178</v>
      </c>
      <c r="F2" s="35">
        <v>11018</v>
      </c>
    </row>
    <row r="3" spans="1:6" x14ac:dyDescent="0.25">
      <c r="A3" t="s">
        <v>6</v>
      </c>
      <c r="B3" s="36">
        <f>'Historical Data'!F5*(1+Forecasting!B4)</f>
        <v>85715.967000000004</v>
      </c>
      <c r="C3" s="36">
        <f>B3*(1+Forecasting!C4)</f>
        <v>93792.763999999996</v>
      </c>
      <c r="D3" s="36">
        <f>C3*(1+Forecasting!D4)</f>
        <v>101869.561</v>
      </c>
      <c r="E3" s="36">
        <f>D3*(1+Forecasting!E4)</f>
        <v>109946.35800000001</v>
      </c>
      <c r="F3" s="36">
        <f>E3*(1+Forecasting!F4)</f>
        <v>118023.155</v>
      </c>
    </row>
    <row r="4" spans="1:6" x14ac:dyDescent="0.25">
      <c r="A4" t="s">
        <v>127</v>
      </c>
      <c r="B4" s="36">
        <f>B3*Forecasting!B5</f>
        <v>48109.206000000006</v>
      </c>
      <c r="C4" s="36">
        <f>C3*Forecasting!C5</f>
        <v>53342.962</v>
      </c>
      <c r="D4" s="36">
        <f>D3*Forecasting!D5</f>
        <v>58576.718000000008</v>
      </c>
      <c r="E4" s="36">
        <f>E3*Forecasting!E5</f>
        <v>63810.473999999995</v>
      </c>
      <c r="F4" s="36">
        <f>F3*Forecasting!F5</f>
        <v>69044.23000000001</v>
      </c>
    </row>
    <row r="5" spans="1:6" x14ac:dyDescent="0.25">
      <c r="A5" s="32" t="s">
        <v>97</v>
      </c>
      <c r="B5" s="48">
        <f>B3-B4</f>
        <v>37606.760999999999</v>
      </c>
      <c r="C5" s="48">
        <f t="shared" ref="C5:F5" si="0">C3-C4</f>
        <v>40449.801999999996</v>
      </c>
      <c r="D5" s="48">
        <f t="shared" si="0"/>
        <v>43292.842999999993</v>
      </c>
      <c r="E5" s="48">
        <f t="shared" si="0"/>
        <v>46135.884000000013</v>
      </c>
      <c r="F5" s="48">
        <f t="shared" si="0"/>
        <v>48978.924999999988</v>
      </c>
    </row>
    <row r="6" spans="1:6" x14ac:dyDescent="0.25">
      <c r="A6" t="s">
        <v>98</v>
      </c>
      <c r="B6" s="36">
        <f>B3*Forecasting!B8</f>
        <v>24000.470760000004</v>
      </c>
      <c r="C6" s="36">
        <f>C3*Forecasting!C8</f>
        <v>26261.97392</v>
      </c>
      <c r="D6" s="36">
        <f>D3*Forecasting!D8</f>
        <v>28523.477080000004</v>
      </c>
      <c r="E6" s="36">
        <f>E3*Forecasting!E8</f>
        <v>30784.980240000004</v>
      </c>
      <c r="F6" s="36">
        <f>F3*Forecasting!F8</f>
        <v>33046.483400000005</v>
      </c>
    </row>
    <row r="7" spans="1:6" x14ac:dyDescent="0.25">
      <c r="A7" s="32" t="s">
        <v>99</v>
      </c>
      <c r="B7" s="48">
        <f>B5-B6</f>
        <v>13606.290239999995</v>
      </c>
      <c r="C7" s="48">
        <f t="shared" ref="C7:F7" si="1">C5-C6</f>
        <v>14187.828079999996</v>
      </c>
      <c r="D7" s="48">
        <f t="shared" si="1"/>
        <v>14769.365919999989</v>
      </c>
      <c r="E7" s="48">
        <f t="shared" si="1"/>
        <v>15350.903760000008</v>
      </c>
      <c r="F7" s="48">
        <f t="shared" si="1"/>
        <v>15932.441599999984</v>
      </c>
    </row>
    <row r="8" spans="1:6" x14ac:dyDescent="0.25">
      <c r="A8" t="s">
        <v>10</v>
      </c>
      <c r="B8" s="36">
        <f>PBS!B22*PIS!B9</f>
        <v>3238.1969150000004</v>
      </c>
      <c r="C8" s="36">
        <f>PBS!C22*PIS!C9</f>
        <v>3335.3428224500003</v>
      </c>
      <c r="D8" s="36">
        <f>PBS!D22*PIS!D9</f>
        <v>3435.4031071234999</v>
      </c>
      <c r="E8" s="36">
        <f>PBS!E22*PIS!E9</f>
        <v>3538.4652003372048</v>
      </c>
      <c r="F8" s="36">
        <f>PBS!F22*PIS!F9</f>
        <v>3644.6191563473208</v>
      </c>
    </row>
    <row r="9" spans="1:6" x14ac:dyDescent="0.25">
      <c r="B9" s="56">
        <f>Forecasting!B9</f>
        <v>0.05</v>
      </c>
      <c r="C9" s="56">
        <f>Forecasting!C9</f>
        <v>0.05</v>
      </c>
      <c r="D9" s="56">
        <f>Forecasting!D9</f>
        <v>0.05</v>
      </c>
      <c r="E9" s="56">
        <f>Forecasting!E9</f>
        <v>0.05</v>
      </c>
      <c r="F9" s="56">
        <f>Forecasting!F9</f>
        <v>0.05</v>
      </c>
    </row>
    <row r="10" spans="1:6" x14ac:dyDescent="0.25">
      <c r="A10" s="32" t="s">
        <v>101</v>
      </c>
      <c r="B10" s="48">
        <f>B7-B8</f>
        <v>10368.093324999994</v>
      </c>
      <c r="C10" s="48">
        <f t="shared" ref="C10:F10" si="2">C7-C8</f>
        <v>10852.485257549995</v>
      </c>
      <c r="D10" s="48">
        <f t="shared" si="2"/>
        <v>11333.962812876489</v>
      </c>
      <c r="E10" s="48">
        <f t="shared" si="2"/>
        <v>11812.438559662804</v>
      </c>
      <c r="F10" s="48">
        <f t="shared" si="2"/>
        <v>12287.822443652663</v>
      </c>
    </row>
    <row r="11" spans="1:6" x14ac:dyDescent="0.25">
      <c r="A11" t="s">
        <v>146</v>
      </c>
      <c r="B11" s="36">
        <f>PBS!B12*PIS!B12</f>
        <v>967.79117240000005</v>
      </c>
      <c r="C11" s="36">
        <f>PBS!C12*PIS!C12</f>
        <v>996.82490757200014</v>
      </c>
      <c r="D11" s="36">
        <f>PBS!D12*PIS!D12</f>
        <v>1026.72965479916</v>
      </c>
      <c r="E11" s="36">
        <f>PBS!E12*PIS!E12</f>
        <v>1057.5315444431349</v>
      </c>
      <c r="F11" s="36">
        <f>PBS!F12*PIS!F12</f>
        <v>1089.257490776429</v>
      </c>
    </row>
    <row r="12" spans="1:6" x14ac:dyDescent="0.25">
      <c r="B12" s="56">
        <f>Forecasting!B10</f>
        <v>0.08</v>
      </c>
      <c r="C12" s="56">
        <f>Forecasting!C10</f>
        <v>0.08</v>
      </c>
      <c r="D12" s="56">
        <f>Forecasting!D10</f>
        <v>0.08</v>
      </c>
      <c r="E12" s="56">
        <f>Forecasting!E10</f>
        <v>0.08</v>
      </c>
      <c r="F12" s="56">
        <f>Forecasting!F10</f>
        <v>0.08</v>
      </c>
    </row>
    <row r="13" spans="1:6" x14ac:dyDescent="0.25">
      <c r="A13" s="32" t="s">
        <v>102</v>
      </c>
      <c r="B13" s="48">
        <f>B10-B11</f>
        <v>9400.3021525999939</v>
      </c>
      <c r="C13" s="48">
        <f t="shared" ref="C13:F13" si="3">C10-C11</f>
        <v>9855.6603499779958</v>
      </c>
      <c r="D13" s="48">
        <f t="shared" si="3"/>
        <v>10307.233158077328</v>
      </c>
      <c r="E13" s="48">
        <f t="shared" si="3"/>
        <v>10754.907015219669</v>
      </c>
      <c r="F13" s="48">
        <f t="shared" si="3"/>
        <v>11198.564952876235</v>
      </c>
    </row>
    <row r="14" spans="1:6" x14ac:dyDescent="0.25">
      <c r="A14" t="s">
        <v>13</v>
      </c>
      <c r="B14" s="36">
        <f>B13*B15</f>
        <v>2350.0755381499985</v>
      </c>
      <c r="C14" s="36">
        <f t="shared" ref="C14:F14" si="4">C13*C15</f>
        <v>2463.9150874944989</v>
      </c>
      <c r="D14" s="36">
        <f t="shared" si="4"/>
        <v>2576.808289519332</v>
      </c>
      <c r="E14" s="36">
        <f t="shared" si="4"/>
        <v>2688.7267538049173</v>
      </c>
      <c r="F14" s="36">
        <f t="shared" si="4"/>
        <v>2799.6412382190588</v>
      </c>
    </row>
    <row r="15" spans="1:6" ht="15.75" thickBot="1" x14ac:dyDescent="0.3">
      <c r="A15" t="s">
        <v>163</v>
      </c>
      <c r="B15" s="37">
        <v>0.25</v>
      </c>
      <c r="C15" s="37">
        <v>0.25</v>
      </c>
      <c r="D15" s="37">
        <v>0.25</v>
      </c>
      <c r="E15" s="37">
        <v>0.25</v>
      </c>
      <c r="F15" s="37">
        <v>0.25</v>
      </c>
    </row>
    <row r="16" spans="1:6" ht="16.5" thickTop="1" thickBot="1" x14ac:dyDescent="0.3">
      <c r="A16" s="46" t="s">
        <v>103</v>
      </c>
      <c r="B16" s="51">
        <f>B13-B14</f>
        <v>7050.2266144499954</v>
      </c>
      <c r="C16" s="51">
        <f t="shared" ref="C16:F16" si="5">C13-C14</f>
        <v>7391.7452624834968</v>
      </c>
      <c r="D16" s="51">
        <f t="shared" si="5"/>
        <v>7730.424868557996</v>
      </c>
      <c r="E16" s="51">
        <f t="shared" si="5"/>
        <v>8066.1802614147518</v>
      </c>
      <c r="F16" s="51">
        <f t="shared" si="5"/>
        <v>8398.9237146571759</v>
      </c>
    </row>
    <row r="17" spans="1:6" ht="16.5" thickTop="1" thickBot="1" x14ac:dyDescent="0.3"/>
    <row r="18" spans="1:6" ht="16.5" thickTop="1" thickBot="1" x14ac:dyDescent="0.3">
      <c r="A18" s="32" t="s">
        <v>70</v>
      </c>
      <c r="B18" s="51">
        <f>B16*B19</f>
        <v>2467.5793150574982</v>
      </c>
      <c r="C18" s="51">
        <f t="shared" ref="C18:F18" si="6">C16*C19</f>
        <v>2587.1108418692238</v>
      </c>
      <c r="D18" s="51">
        <f t="shared" si="6"/>
        <v>2705.6487039952985</v>
      </c>
      <c r="E18" s="51">
        <f t="shared" si="6"/>
        <v>2823.1630914951629</v>
      </c>
      <c r="F18" s="51">
        <f t="shared" si="6"/>
        <v>2939.6233001300116</v>
      </c>
    </row>
    <row r="19" spans="1:6" ht="15.75" thickTop="1" x14ac:dyDescent="0.25">
      <c r="B19" s="37">
        <v>0.35</v>
      </c>
      <c r="C19" s="37">
        <v>0.35</v>
      </c>
      <c r="D19" s="37">
        <v>0.35</v>
      </c>
      <c r="E19" s="37">
        <v>0.35</v>
      </c>
      <c r="F19" s="37">
        <v>0.35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FC9B7-3C85-4A1C-A2D1-5CD0FD296110}">
  <dimension ref="A1:H32"/>
  <sheetViews>
    <sheetView zoomScale="115" zoomScaleNormal="115" workbookViewId="0">
      <selection activeCell="F1" sqref="F1"/>
    </sheetView>
  </sheetViews>
  <sheetFormatPr defaultRowHeight="15" x14ac:dyDescent="0.25"/>
  <cols>
    <col min="1" max="1" width="39.85546875" bestFit="1" customWidth="1"/>
    <col min="2" max="6" width="18.7109375" customWidth="1"/>
  </cols>
  <sheetData>
    <row r="1" spans="1:6" x14ac:dyDescent="0.25">
      <c r="F1" t="s">
        <v>235</v>
      </c>
    </row>
    <row r="2" spans="1:6" ht="18.75" x14ac:dyDescent="0.3">
      <c r="A2" s="44" t="s">
        <v>150</v>
      </c>
      <c r="B2" s="35">
        <v>46082</v>
      </c>
      <c r="C2" s="35">
        <v>46447</v>
      </c>
      <c r="D2" s="35">
        <v>46813</v>
      </c>
      <c r="E2" s="35">
        <v>47178</v>
      </c>
      <c r="F2" s="35">
        <v>11018</v>
      </c>
    </row>
    <row r="4" spans="1:6" x14ac:dyDescent="0.25">
      <c r="A4" s="32" t="s">
        <v>115</v>
      </c>
    </row>
    <row r="5" spans="1:6" x14ac:dyDescent="0.25">
      <c r="A5" s="32" t="s">
        <v>151</v>
      </c>
    </row>
    <row r="6" spans="1:6" x14ac:dyDescent="0.25">
      <c r="A6" t="s">
        <v>152</v>
      </c>
      <c r="B6" s="36">
        <f>'Historical Data'!F32</f>
        <v>294.68</v>
      </c>
      <c r="C6">
        <v>294.68</v>
      </c>
      <c r="D6">
        <v>294.68</v>
      </c>
      <c r="E6">
        <v>294.68</v>
      </c>
      <c r="F6">
        <v>294.68</v>
      </c>
    </row>
    <row r="7" spans="1:6" x14ac:dyDescent="0.25">
      <c r="A7" t="s">
        <v>197</v>
      </c>
      <c r="B7" s="36">
        <f>'Historical Data'!F53+PIS!B16-PIS!B18-4105.07</f>
        <v>74248.797299392492</v>
      </c>
      <c r="C7" s="36">
        <f>B7+PIS!C16-PIS!C18+3374.2</f>
        <v>82427.631720006772</v>
      </c>
      <c r="D7" s="36">
        <f>C7+PIS!D16-PIS!D18+3475.43</f>
        <v>90927.837884569468</v>
      </c>
      <c r="E7" s="36">
        <f>D7+PIS!E16-PIS!E18+3579.69</f>
        <v>99750.545054489048</v>
      </c>
      <c r="F7" s="36">
        <f>E7+PIS!F16-PIS!F18+3687.08</f>
        <v>108896.92546901621</v>
      </c>
    </row>
    <row r="8" spans="1:6" x14ac:dyDescent="0.25">
      <c r="A8" s="32" t="s">
        <v>153</v>
      </c>
      <c r="B8" s="48">
        <f>SUM(B6:B7)</f>
        <v>74543.477299392485</v>
      </c>
      <c r="C8" s="48">
        <f>SUM(C6:C7)</f>
        <v>82722.311720006765</v>
      </c>
      <c r="D8" s="48">
        <f>SUM(D6:D7)</f>
        <v>91222.517884569461</v>
      </c>
      <c r="E8" s="48">
        <f>SUM(E6:E7)</f>
        <v>100045.22505448904</v>
      </c>
      <c r="F8" s="48">
        <f>SUM(F6:F7)</f>
        <v>109191.6054690162</v>
      </c>
    </row>
    <row r="10" spans="1:6" x14ac:dyDescent="0.25">
      <c r="A10" s="32" t="s">
        <v>154</v>
      </c>
    </row>
    <row r="11" spans="1:6" x14ac:dyDescent="0.25">
      <c r="A11" t="s">
        <v>155</v>
      </c>
    </row>
    <row r="12" spans="1:6" x14ac:dyDescent="0.25">
      <c r="A12" s="67" t="s">
        <v>71</v>
      </c>
      <c r="B12" s="68">
        <f>PCFS!D50</f>
        <v>12097.389655000001</v>
      </c>
      <c r="C12" s="68">
        <f>PCFS!E50</f>
        <v>12460.311344650001</v>
      </c>
      <c r="D12" s="68">
        <f>PCFS!F50</f>
        <v>12834.120684989501</v>
      </c>
      <c r="E12" s="68">
        <f>PCFS!G50</f>
        <v>13219.144305539186</v>
      </c>
      <c r="F12" s="68">
        <f>PCFS!H50</f>
        <v>13615.718634705361</v>
      </c>
    </row>
    <row r="13" spans="1:6" x14ac:dyDescent="0.25">
      <c r="A13" s="32"/>
    </row>
    <row r="14" spans="1:6" x14ac:dyDescent="0.25">
      <c r="A14" s="67" t="s">
        <v>156</v>
      </c>
    </row>
    <row r="15" spans="1:6" x14ac:dyDescent="0.25">
      <c r="A15" s="67" t="s">
        <v>157</v>
      </c>
      <c r="B15" s="68">
        <f>PIS!B3*PBS!B16</f>
        <v>5142.95802</v>
      </c>
      <c r="C15" s="68">
        <f>PIS!C3*PBS!C16</f>
        <v>5627.5658399999993</v>
      </c>
      <c r="D15" s="68">
        <f>PIS!D3*PBS!D16</f>
        <v>6112.1736599999995</v>
      </c>
      <c r="E15" s="68">
        <f>PIS!E3*PBS!E16</f>
        <v>6596.7814800000006</v>
      </c>
      <c r="F15" s="68">
        <f>PIS!F3*PBS!F16</f>
        <v>7081.3892999999998</v>
      </c>
    </row>
    <row r="16" spans="1:6" x14ac:dyDescent="0.25">
      <c r="A16" s="70" t="s">
        <v>166</v>
      </c>
      <c r="B16" s="37">
        <v>0.06</v>
      </c>
      <c r="C16" s="37">
        <v>0.06</v>
      </c>
      <c r="D16" s="37">
        <v>0.06</v>
      </c>
      <c r="E16" s="37">
        <v>0.06</v>
      </c>
      <c r="F16" s="37">
        <v>0.06</v>
      </c>
    </row>
    <row r="17" spans="1:8" ht="15.75" thickBot="1" x14ac:dyDescent="0.3">
      <c r="A17" s="67"/>
    </row>
    <row r="18" spans="1:8" ht="15.75" thickBot="1" x14ac:dyDescent="0.3">
      <c r="A18" s="49" t="s">
        <v>117</v>
      </c>
      <c r="B18" s="50">
        <f>SUM(B8,B12,B15)</f>
        <v>91783.824974392497</v>
      </c>
      <c r="C18" s="50">
        <f>SUM(C8,C12,C15)</f>
        <v>100810.18890465677</v>
      </c>
      <c r="D18" s="50">
        <f>SUM(D8,D12,D15)</f>
        <v>110168.81222955896</v>
      </c>
      <c r="E18" s="50">
        <f>SUM(E8,E12,E15)</f>
        <v>119861.15084002823</v>
      </c>
      <c r="F18" s="50">
        <f>SUM(F8,F12,F15)</f>
        <v>129888.71340372156</v>
      </c>
    </row>
    <row r="20" spans="1:8" x14ac:dyDescent="0.25">
      <c r="A20" s="32" t="s">
        <v>158</v>
      </c>
    </row>
    <row r="21" spans="1:8" x14ac:dyDescent="0.25">
      <c r="A21" t="s">
        <v>159</v>
      </c>
    </row>
    <row r="22" spans="1:8" x14ac:dyDescent="0.25">
      <c r="A22" s="67" t="s">
        <v>162</v>
      </c>
      <c r="B22" s="36">
        <f>('Historical Data'!E38+'Historical Data'!E38*PBS!B23)</f>
        <v>64763.938300000002</v>
      </c>
      <c r="C22" s="36">
        <f>(B22+B22*C23)</f>
        <v>66706.856448999999</v>
      </c>
      <c r="D22" s="36">
        <f t="shared" ref="D22:F22" si="0">(C22+C22*D23)</f>
        <v>68708.062142469993</v>
      </c>
      <c r="E22" s="36">
        <f t="shared" si="0"/>
        <v>70769.304006744089</v>
      </c>
      <c r="F22" s="36">
        <f t="shared" si="0"/>
        <v>72892.383126946414</v>
      </c>
      <c r="H22" s="39"/>
    </row>
    <row r="23" spans="1:8" x14ac:dyDescent="0.25">
      <c r="B23" s="37">
        <v>0.03</v>
      </c>
      <c r="C23" s="37">
        <v>0.03</v>
      </c>
      <c r="D23" s="37">
        <v>0.03</v>
      </c>
      <c r="E23" s="37">
        <v>0.03</v>
      </c>
      <c r="F23" s="37">
        <v>0.03</v>
      </c>
    </row>
    <row r="24" spans="1:8" x14ac:dyDescent="0.25">
      <c r="A24" t="s">
        <v>160</v>
      </c>
    </row>
    <row r="25" spans="1:8" x14ac:dyDescent="0.25">
      <c r="A25" t="s">
        <v>78</v>
      </c>
      <c r="B25" s="36">
        <f>PIS!B3*PBS!B26</f>
        <v>6857.27736</v>
      </c>
      <c r="C25" s="36">
        <f>PIS!C3*PBS!C26</f>
        <v>7503.42112</v>
      </c>
      <c r="D25" s="36">
        <f>PIS!D3*PBS!D26</f>
        <v>8149.5648799999999</v>
      </c>
      <c r="E25" s="36">
        <f>PIS!E3*PBS!E26</f>
        <v>8795.7086400000007</v>
      </c>
      <c r="F25" s="36">
        <f>PIS!F3*PBS!F26</f>
        <v>9441.8523999999998</v>
      </c>
    </row>
    <row r="26" spans="1:8" x14ac:dyDescent="0.25">
      <c r="A26" t="s">
        <v>165</v>
      </c>
      <c r="B26" s="37">
        <v>0.08</v>
      </c>
      <c r="C26" s="37">
        <v>0.08</v>
      </c>
      <c r="D26" s="37">
        <v>0.08</v>
      </c>
      <c r="E26" s="37">
        <v>0.08</v>
      </c>
      <c r="F26" s="37">
        <v>0.08</v>
      </c>
    </row>
    <row r="27" spans="1:8" x14ac:dyDescent="0.25">
      <c r="A27" t="s">
        <v>122</v>
      </c>
      <c r="B27" s="36">
        <f>PIS!B4*PBS!B28</f>
        <v>10102.933260000002</v>
      </c>
      <c r="C27" s="36">
        <f>PIS!C4*PBS!C28</f>
        <v>11202.02202</v>
      </c>
      <c r="D27" s="36">
        <f>PIS!D4*PBS!D28</f>
        <v>12301.110780000001</v>
      </c>
      <c r="E27" s="36">
        <f>PIS!E4*PBS!E28</f>
        <v>13400.199539999998</v>
      </c>
      <c r="F27" s="36">
        <f>PIS!F4*PBS!F28</f>
        <v>14499.288300000002</v>
      </c>
    </row>
    <row r="28" spans="1:8" x14ac:dyDescent="0.25">
      <c r="B28" s="37">
        <v>0.21</v>
      </c>
      <c r="C28" s="37">
        <v>0.21</v>
      </c>
      <c r="D28" s="37">
        <v>0.21</v>
      </c>
      <c r="E28" s="37">
        <v>0.21</v>
      </c>
      <c r="F28" s="37">
        <v>0.21</v>
      </c>
    </row>
    <row r="29" spans="1:8" ht="15.75" thickBot="1" x14ac:dyDescent="0.3">
      <c r="A29" t="s">
        <v>87</v>
      </c>
      <c r="B29" s="36">
        <f>PCFS!D27</f>
        <v>10059.6739353925</v>
      </c>
      <c r="C29" s="36">
        <f>PCFS!E27</f>
        <v>15397.888382086783</v>
      </c>
      <c r="D29" s="36">
        <f>PCFS!F27</f>
        <v>21010.070714511876</v>
      </c>
      <c r="E29" s="36">
        <f>PCFS!G27</f>
        <v>26895.934978329744</v>
      </c>
      <c r="F29" s="36">
        <f>PCFS!H27</f>
        <v>33055.186640572123</v>
      </c>
    </row>
    <row r="30" spans="1:8" ht="16.5" thickTop="1" thickBot="1" x14ac:dyDescent="0.3">
      <c r="A30" s="46" t="s">
        <v>124</v>
      </c>
      <c r="B30" s="51">
        <f>B22+B25+B27+B29</f>
        <v>91783.8228553925</v>
      </c>
      <c r="C30" s="51">
        <f t="shared" ref="C30:F30" si="1">C22+C25+C27+C29</f>
        <v>100810.18797108678</v>
      </c>
      <c r="D30" s="51">
        <f t="shared" si="1"/>
        <v>110168.80851698188</v>
      </c>
      <c r="E30" s="51">
        <f t="shared" si="1"/>
        <v>119861.14716507384</v>
      </c>
      <c r="F30" s="51">
        <f t="shared" si="1"/>
        <v>129888.71046751854</v>
      </c>
    </row>
    <row r="31" spans="1:8" ht="15.75" thickTop="1" x14ac:dyDescent="0.25"/>
    <row r="32" spans="1:8" x14ac:dyDescent="0.25">
      <c r="B32" s="36">
        <f>B30-B18</f>
        <v>-2.1189999970374629E-3</v>
      </c>
      <c r="C32" s="36">
        <f>C30-C18</f>
        <v>-9.3356998695526272E-4</v>
      </c>
      <c r="D32" s="36">
        <f>D30-D18</f>
        <v>-3.7125770759303123E-3</v>
      </c>
      <c r="E32" s="36">
        <f>E30-E18</f>
        <v>-3.6749543942278251E-3</v>
      </c>
      <c r="F32" s="36">
        <f>F30-F18</f>
        <v>-2.9362030181800947E-3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5F970-864D-492D-AD8E-F6982A98F63B}">
  <dimension ref="A1:H52"/>
  <sheetViews>
    <sheetView topLeftCell="A33" zoomScaleNormal="100" workbookViewId="0">
      <selection activeCell="H1" sqref="H1"/>
    </sheetView>
  </sheetViews>
  <sheetFormatPr defaultRowHeight="15" x14ac:dyDescent="0.25"/>
  <cols>
    <col min="1" max="1" width="49.7109375" bestFit="1" customWidth="1"/>
    <col min="2" max="3" width="18.28515625" customWidth="1"/>
    <col min="4" max="8" width="18.7109375" customWidth="1"/>
  </cols>
  <sheetData>
    <row r="1" spans="1:8" x14ac:dyDescent="0.25">
      <c r="H1" t="s">
        <v>235</v>
      </c>
    </row>
    <row r="2" spans="1:8" ht="18.75" x14ac:dyDescent="0.3">
      <c r="A2" s="44" t="s">
        <v>169</v>
      </c>
      <c r="B2" s="80">
        <v>45352</v>
      </c>
      <c r="C2" s="80">
        <v>45717</v>
      </c>
      <c r="D2" s="35">
        <v>46082</v>
      </c>
      <c r="E2" s="35">
        <v>46447</v>
      </c>
      <c r="F2" s="35">
        <v>46813</v>
      </c>
      <c r="G2" s="35">
        <v>47178</v>
      </c>
      <c r="H2" s="35">
        <v>11018</v>
      </c>
    </row>
    <row r="4" spans="1:8" x14ac:dyDescent="0.25">
      <c r="A4" t="s">
        <v>170</v>
      </c>
    </row>
    <row r="5" spans="1:8" x14ac:dyDescent="0.25">
      <c r="A5" t="s">
        <v>171</v>
      </c>
      <c r="B5">
        <f>'Historical Data'!E23</f>
        <v>8865.2599999999984</v>
      </c>
      <c r="C5">
        <f>'Historical Data'!F23</f>
        <v>7131.390000000004</v>
      </c>
      <c r="D5" s="36">
        <f>PIS!B13</f>
        <v>9400.3021525999939</v>
      </c>
      <c r="E5" s="36">
        <f>PIS!C13</f>
        <v>9855.6603499779958</v>
      </c>
      <c r="F5" s="36">
        <f>PIS!D13</f>
        <v>10307.233158077328</v>
      </c>
      <c r="G5" s="36">
        <f>PIS!E13</f>
        <v>10754.907015219669</v>
      </c>
      <c r="H5" s="36">
        <f>PIS!F13</f>
        <v>11198.564952876235</v>
      </c>
    </row>
    <row r="6" spans="1:8" x14ac:dyDescent="0.25">
      <c r="A6" t="s">
        <v>172</v>
      </c>
    </row>
    <row r="7" spans="1:8" x14ac:dyDescent="0.25">
      <c r="A7" t="s">
        <v>173</v>
      </c>
      <c r="B7" s="36">
        <f>'Historical Data'!E17</f>
        <v>3145.3</v>
      </c>
      <c r="C7" s="36">
        <f>'Historical Data'!F17</f>
        <v>4014.95</v>
      </c>
      <c r="D7" s="36">
        <f>PIS!B8</f>
        <v>3238.1969150000004</v>
      </c>
      <c r="E7" s="36">
        <f>PIS!C8</f>
        <v>3335.3428224500003</v>
      </c>
      <c r="F7" s="36">
        <f>PIS!D8</f>
        <v>3435.4031071234999</v>
      </c>
      <c r="G7" s="36">
        <f>PIS!E8</f>
        <v>3538.4652003372048</v>
      </c>
      <c r="H7" s="36">
        <f>PIS!F8</f>
        <v>3644.6191563473208</v>
      </c>
    </row>
    <row r="8" spans="1:8" x14ac:dyDescent="0.25">
      <c r="A8" t="s">
        <v>174</v>
      </c>
      <c r="B8" s="36">
        <f>'Historical Data'!E21</f>
        <v>968</v>
      </c>
      <c r="C8" s="36">
        <f>'Historical Data'!F21</f>
        <v>1650.54</v>
      </c>
      <c r="D8" s="36">
        <f>PIS!B11</f>
        <v>967.79117240000005</v>
      </c>
      <c r="E8" s="36">
        <f>PIS!C11</f>
        <v>996.82490757200014</v>
      </c>
      <c r="F8" s="36">
        <f>PIS!D11</f>
        <v>1026.72965479916</v>
      </c>
      <c r="G8" s="36">
        <f>PIS!E11</f>
        <v>1057.5315444431349</v>
      </c>
      <c r="H8" s="36">
        <f>PIS!F11</f>
        <v>1089.257490776429</v>
      </c>
    </row>
    <row r="9" spans="1:8" x14ac:dyDescent="0.25">
      <c r="A9" t="s">
        <v>175</v>
      </c>
      <c r="B9" s="36">
        <f t="shared" ref="B9:C9" si="0">SUM(B5,B7:B8)</f>
        <v>12978.559999999998</v>
      </c>
      <c r="C9" s="36">
        <f t="shared" si="0"/>
        <v>12796.880000000005</v>
      </c>
      <c r="D9" s="36">
        <f>SUM(D5,D7:D8)</f>
        <v>13606.290239999995</v>
      </c>
      <c r="E9" s="36">
        <f t="shared" ref="E9:H9" si="1">SUM(E5,E7:E8)</f>
        <v>14187.828079999996</v>
      </c>
      <c r="F9" s="36">
        <f t="shared" si="1"/>
        <v>14769.365919999989</v>
      </c>
      <c r="G9" s="36">
        <f t="shared" si="1"/>
        <v>15350.903760000008</v>
      </c>
      <c r="H9" s="36">
        <f t="shared" si="1"/>
        <v>15932.441599999984</v>
      </c>
    </row>
    <row r="10" spans="1:8" x14ac:dyDescent="0.25">
      <c r="A10" t="s">
        <v>176</v>
      </c>
      <c r="B10" s="36"/>
      <c r="C10" s="36">
        <f>C39</f>
        <v>2845.33</v>
      </c>
      <c r="D10" s="36">
        <f>D39</f>
        <v>921.33040000000256</v>
      </c>
      <c r="E10" s="36">
        <f t="shared" ref="E10:H10" si="2">E39</f>
        <v>1260.6246999999985</v>
      </c>
      <c r="F10" s="36">
        <f t="shared" si="2"/>
        <v>1260.6247000000003</v>
      </c>
      <c r="G10" s="36">
        <f t="shared" si="2"/>
        <v>1260.6246999999967</v>
      </c>
      <c r="H10" s="36">
        <f t="shared" si="2"/>
        <v>1260.6247000000076</v>
      </c>
    </row>
    <row r="11" spans="1:8" x14ac:dyDescent="0.25">
      <c r="A11" t="s">
        <v>177</v>
      </c>
      <c r="C11" s="36">
        <f>C9-C10</f>
        <v>9951.5500000000047</v>
      </c>
      <c r="D11" s="36">
        <f>D9-D10</f>
        <v>12684.959839999992</v>
      </c>
      <c r="E11" s="36">
        <f t="shared" ref="E11:H11" si="3">E9-E10</f>
        <v>12927.203379999997</v>
      </c>
      <c r="F11" s="36">
        <f t="shared" si="3"/>
        <v>13508.741219999989</v>
      </c>
      <c r="G11" s="36">
        <f t="shared" si="3"/>
        <v>14090.279060000012</v>
      </c>
      <c r="H11" s="36">
        <f t="shared" si="3"/>
        <v>14671.816899999976</v>
      </c>
    </row>
    <row r="12" spans="1:8" x14ac:dyDescent="0.25">
      <c r="A12" t="s">
        <v>178</v>
      </c>
      <c r="C12" s="36">
        <f>'Historical Data'!F25</f>
        <v>1488.49</v>
      </c>
      <c r="D12" s="36">
        <f>PIS!B14</f>
        <v>2350.0755381499985</v>
      </c>
      <c r="E12" s="36">
        <f>PIS!C14</f>
        <v>2463.9150874944989</v>
      </c>
      <c r="F12" s="36">
        <f>PIS!D14</f>
        <v>2576.808289519332</v>
      </c>
      <c r="G12" s="36">
        <f>PIS!E14</f>
        <v>2688.7267538049173</v>
      </c>
      <c r="H12" s="36">
        <f>PIS!F14</f>
        <v>2799.6412382190588</v>
      </c>
    </row>
    <row r="13" spans="1:8" x14ac:dyDescent="0.25">
      <c r="A13" s="71" t="s">
        <v>170</v>
      </c>
      <c r="B13" s="71"/>
      <c r="C13" s="79">
        <f>C11-C12</f>
        <v>8463.0600000000049</v>
      </c>
      <c r="D13" s="78">
        <f>D11-D12</f>
        <v>10334.884301849994</v>
      </c>
      <c r="E13" s="78">
        <f t="shared" ref="E13:H13" si="4">E11-E12</f>
        <v>10463.288292505498</v>
      </c>
      <c r="F13" s="78">
        <f t="shared" si="4"/>
        <v>10931.932930480656</v>
      </c>
      <c r="G13" s="78">
        <f t="shared" si="4"/>
        <v>11401.552306195095</v>
      </c>
      <c r="H13" s="78">
        <f t="shared" si="4"/>
        <v>11872.175661780917</v>
      </c>
    </row>
    <row r="15" spans="1:8" x14ac:dyDescent="0.25">
      <c r="A15" t="s">
        <v>179</v>
      </c>
    </row>
    <row r="16" spans="1:8" x14ac:dyDescent="0.25">
      <c r="A16" t="s">
        <v>180</v>
      </c>
      <c r="C16" s="75">
        <f>-C46</f>
        <v>-1016.6783000000069</v>
      </c>
      <c r="D16" s="75">
        <f t="shared" ref="D16:H16" si="5">-D46</f>
        <v>-2719.671233999994</v>
      </c>
      <c r="E16" s="75">
        <f t="shared" si="5"/>
        <v>-1904.0597860199923</v>
      </c>
      <c r="F16" s="75">
        <f t="shared" si="5"/>
        <v>-1961.1815796006049</v>
      </c>
      <c r="G16" s="75">
        <f t="shared" si="5"/>
        <v>-2020.0170269886148</v>
      </c>
      <c r="H16" s="75">
        <f t="shared" si="5"/>
        <v>-2080.6175377982727</v>
      </c>
    </row>
    <row r="17" spans="1:8" x14ac:dyDescent="0.25">
      <c r="A17" s="71" t="s">
        <v>179</v>
      </c>
      <c r="B17" s="71"/>
      <c r="C17" s="79">
        <f>C16</f>
        <v>-1016.6783000000069</v>
      </c>
      <c r="D17" s="79">
        <f t="shared" ref="D17:H17" si="6">D16</f>
        <v>-2719.671233999994</v>
      </c>
      <c r="E17" s="79">
        <f t="shared" si="6"/>
        <v>-1904.0597860199923</v>
      </c>
      <c r="F17" s="79">
        <f t="shared" si="6"/>
        <v>-1961.1815796006049</v>
      </c>
      <c r="G17" s="79">
        <f t="shared" si="6"/>
        <v>-2020.0170269886148</v>
      </c>
      <c r="H17" s="79">
        <f t="shared" si="6"/>
        <v>-2080.6175377982727</v>
      </c>
    </row>
    <row r="19" spans="1:8" x14ac:dyDescent="0.25">
      <c r="A19" t="s">
        <v>181</v>
      </c>
    </row>
    <row r="20" spans="1:8" x14ac:dyDescent="0.25">
      <c r="A20" t="s">
        <v>71</v>
      </c>
      <c r="C20" s="75">
        <f>C51</f>
        <v>342.08849999999984</v>
      </c>
      <c r="D20" s="75">
        <f>D51</f>
        <v>352.35115500000029</v>
      </c>
      <c r="E20" s="75">
        <f t="shared" ref="E20:H20" si="7">E51</f>
        <v>362.92168965000019</v>
      </c>
      <c r="F20" s="75">
        <f t="shared" si="7"/>
        <v>373.80934033949961</v>
      </c>
      <c r="G20" s="75">
        <f t="shared" si="7"/>
        <v>385.0236205496858</v>
      </c>
      <c r="H20" s="75">
        <f t="shared" si="7"/>
        <v>396.57432916617472</v>
      </c>
    </row>
    <row r="21" spans="1:8" x14ac:dyDescent="0.25">
      <c r="A21" t="s">
        <v>167</v>
      </c>
      <c r="C21" s="36">
        <f>-'Historical Data'!F52</f>
        <v>-2283.77</v>
      </c>
      <c r="D21" s="36">
        <f>-PIS!B18</f>
        <v>-2467.5793150574982</v>
      </c>
      <c r="E21" s="36">
        <f>-PIS!C18</f>
        <v>-2587.1108418692238</v>
      </c>
      <c r="F21" s="36">
        <f>-PIS!D18</f>
        <v>-2705.6487039952985</v>
      </c>
      <c r="G21" s="36">
        <f>-PIS!E18</f>
        <v>-2823.1630914951629</v>
      </c>
      <c r="H21" s="36">
        <f>-PIS!F18</f>
        <v>-2939.6233001300116</v>
      </c>
    </row>
    <row r="22" spans="1:8" x14ac:dyDescent="0.25">
      <c r="A22" t="s">
        <v>182</v>
      </c>
      <c r="C22" s="36">
        <f>-'Historical Data'!F21</f>
        <v>-1650.54</v>
      </c>
      <c r="D22" s="36">
        <f>-PIS!B11</f>
        <v>-967.79117240000005</v>
      </c>
      <c r="E22" s="36">
        <f>-PIS!C11</f>
        <v>-996.82490757200014</v>
      </c>
      <c r="F22" s="36">
        <f>-PIS!D11</f>
        <v>-1026.72965479916</v>
      </c>
      <c r="G22" s="36">
        <f>-PIS!E11</f>
        <v>-1057.5315444431349</v>
      </c>
      <c r="H22" s="36">
        <f>-PIS!F11</f>
        <v>-1089.257490776429</v>
      </c>
    </row>
    <row r="23" spans="1:8" x14ac:dyDescent="0.25">
      <c r="A23" s="71" t="s">
        <v>181</v>
      </c>
      <c r="B23" s="71"/>
      <c r="C23" s="77">
        <f>SUM(C20:C22)</f>
        <v>-3592.2215000000001</v>
      </c>
      <c r="D23" s="77">
        <f t="shared" ref="D23:H23" si="8">SUM(D20:D22)</f>
        <v>-3083.019332457498</v>
      </c>
      <c r="E23" s="77">
        <f t="shared" si="8"/>
        <v>-3221.0140597912236</v>
      </c>
      <c r="F23" s="77">
        <f t="shared" si="8"/>
        <v>-3358.569018454959</v>
      </c>
      <c r="G23" s="77">
        <f t="shared" si="8"/>
        <v>-3495.671015388612</v>
      </c>
      <c r="H23" s="77">
        <f t="shared" si="8"/>
        <v>-3632.3064617402661</v>
      </c>
    </row>
    <row r="25" spans="1:8" x14ac:dyDescent="0.25">
      <c r="A25" s="32" t="s">
        <v>183</v>
      </c>
      <c r="B25" s="32"/>
      <c r="C25" s="75">
        <f>SUM(C13,C17,C23)</f>
        <v>3854.160199999998</v>
      </c>
      <c r="D25" s="75">
        <f t="shared" ref="D25:H25" si="9">SUM(D13,D17,D23)</f>
        <v>4532.1937353925023</v>
      </c>
      <c r="E25" s="75">
        <f t="shared" si="9"/>
        <v>5338.2144466942827</v>
      </c>
      <c r="F25" s="75">
        <f t="shared" si="9"/>
        <v>5612.1823324250927</v>
      </c>
      <c r="G25" s="75">
        <f t="shared" si="9"/>
        <v>5885.864263817868</v>
      </c>
      <c r="H25" s="75">
        <f t="shared" si="9"/>
        <v>6159.2516622423782</v>
      </c>
    </row>
    <row r="26" spans="1:8" ht="15.75" thickBot="1" x14ac:dyDescent="0.3">
      <c r="A26" s="32" t="s">
        <v>184</v>
      </c>
      <c r="B26" s="32"/>
      <c r="C26" s="36">
        <f>'Historical Data'!F48</f>
        <v>1673.32</v>
      </c>
      <c r="D26" s="75">
        <f>C27</f>
        <v>5527.4801999999981</v>
      </c>
      <c r="E26" s="75">
        <f t="shared" ref="E26:H26" si="10">D27</f>
        <v>10059.6739353925</v>
      </c>
      <c r="F26" s="75">
        <f t="shared" si="10"/>
        <v>15397.888382086783</v>
      </c>
      <c r="G26" s="75">
        <f t="shared" si="10"/>
        <v>21010.070714511876</v>
      </c>
      <c r="H26" s="75">
        <f t="shared" si="10"/>
        <v>26895.934978329744</v>
      </c>
    </row>
    <row r="27" spans="1:8" ht="16.5" thickTop="1" thickBot="1" x14ac:dyDescent="0.3">
      <c r="A27" s="46" t="s">
        <v>185</v>
      </c>
      <c r="B27" s="46"/>
      <c r="C27" s="81">
        <f>SUM(C25:C26)</f>
        <v>5527.4801999999981</v>
      </c>
      <c r="D27" s="81">
        <f>SUM(D25:D26)</f>
        <v>10059.6739353925</v>
      </c>
      <c r="E27" s="81">
        <f t="shared" ref="E27:H27" si="11">SUM(E25:E26)</f>
        <v>15397.888382086783</v>
      </c>
      <c r="F27" s="81">
        <f t="shared" si="11"/>
        <v>21010.070714511876</v>
      </c>
      <c r="G27" s="81">
        <f t="shared" si="11"/>
        <v>26895.934978329744</v>
      </c>
      <c r="H27" s="81">
        <f t="shared" si="11"/>
        <v>33055.186640572123</v>
      </c>
    </row>
    <row r="28" spans="1:8" ht="15.75" thickTop="1" x14ac:dyDescent="0.25"/>
    <row r="29" spans="1:8" x14ac:dyDescent="0.25">
      <c r="A29" s="72" t="s">
        <v>186</v>
      </c>
      <c r="B29" s="72"/>
      <c r="C29" s="72"/>
    </row>
    <row r="31" spans="1:8" ht="18.75" x14ac:dyDescent="0.3">
      <c r="A31" s="74" t="s">
        <v>187</v>
      </c>
      <c r="B31" s="76">
        <v>45352</v>
      </c>
      <c r="C31" s="76">
        <v>45717</v>
      </c>
      <c r="D31" s="73">
        <v>46082</v>
      </c>
      <c r="E31" s="73">
        <v>46447</v>
      </c>
      <c r="F31" s="73">
        <v>46813</v>
      </c>
      <c r="G31" s="73">
        <v>47178</v>
      </c>
      <c r="H31" s="73">
        <v>11018</v>
      </c>
    </row>
    <row r="33" spans="1:8" x14ac:dyDescent="0.25">
      <c r="A33" t="s">
        <v>157</v>
      </c>
      <c r="B33" s="36">
        <f>'Historical Data'!F5*PBS!B16</f>
        <v>4557.3078000000005</v>
      </c>
      <c r="C33" s="36">
        <f>'Historical Data'!F5*PBS!B16</f>
        <v>4557.3078000000005</v>
      </c>
      <c r="D33" s="36">
        <f>PBS!B15</f>
        <v>5142.95802</v>
      </c>
      <c r="E33" s="36">
        <f>PBS!C15</f>
        <v>5627.5658399999993</v>
      </c>
      <c r="F33" s="36">
        <f>PBS!D15</f>
        <v>6112.1736599999995</v>
      </c>
      <c r="G33" s="36">
        <f>PBS!E15</f>
        <v>6596.7814800000006</v>
      </c>
      <c r="H33" s="36">
        <f>PBS!F15</f>
        <v>7081.3892999999998</v>
      </c>
    </row>
    <row r="34" spans="1:8" x14ac:dyDescent="0.25">
      <c r="A34" s="32" t="s">
        <v>188</v>
      </c>
      <c r="B34" s="48">
        <f>B33</f>
        <v>4557.3078000000005</v>
      </c>
      <c r="C34" s="48">
        <f>C33</f>
        <v>4557.3078000000005</v>
      </c>
      <c r="D34" s="48">
        <f>D33</f>
        <v>5142.95802</v>
      </c>
      <c r="E34" s="48">
        <f t="shared" ref="E34:H34" si="12">E33</f>
        <v>5627.5658399999993</v>
      </c>
      <c r="F34" s="48">
        <f t="shared" si="12"/>
        <v>6112.1736599999995</v>
      </c>
      <c r="G34" s="48">
        <f t="shared" si="12"/>
        <v>6596.7814800000006</v>
      </c>
      <c r="H34" s="48">
        <f t="shared" si="12"/>
        <v>7081.3892999999998</v>
      </c>
    </row>
    <row r="35" spans="1:8" x14ac:dyDescent="0.25">
      <c r="A35" t="s">
        <v>78</v>
      </c>
      <c r="B35" s="36">
        <f>'Historical Data'!E44</f>
        <v>4278.16</v>
      </c>
      <c r="C35" s="36">
        <f>'Historical Data'!F44</f>
        <v>5890.25</v>
      </c>
      <c r="D35" s="36">
        <f>PBS!B25</f>
        <v>6857.27736</v>
      </c>
      <c r="E35" s="36">
        <f>PBS!C25</f>
        <v>7503.42112</v>
      </c>
      <c r="F35" s="36">
        <f>PBS!D25</f>
        <v>8149.5648799999999</v>
      </c>
      <c r="G35" s="36">
        <f>PBS!E25</f>
        <v>8795.7086400000007</v>
      </c>
      <c r="H35" s="36">
        <f>PBS!F25</f>
        <v>9441.8523999999998</v>
      </c>
    </row>
    <row r="36" spans="1:8" x14ac:dyDescent="0.25">
      <c r="A36" t="s">
        <v>45</v>
      </c>
      <c r="B36" s="36">
        <f>'Historical Data'!E46</f>
        <v>8329.74</v>
      </c>
      <c r="C36" s="36">
        <f>'Historical Data'!F46</f>
        <v>9562.98</v>
      </c>
      <c r="D36" s="36">
        <f>PBS!B27</f>
        <v>10102.933260000002</v>
      </c>
      <c r="E36" s="36">
        <f>PBS!C27</f>
        <v>11202.02202</v>
      </c>
      <c r="F36" s="36">
        <f>PBS!D27</f>
        <v>12301.110780000001</v>
      </c>
      <c r="G36" s="36">
        <f>PBS!E27</f>
        <v>13400.199539999998</v>
      </c>
      <c r="H36" s="36">
        <f>PBS!F27</f>
        <v>14499.288300000002</v>
      </c>
    </row>
    <row r="37" spans="1:8" x14ac:dyDescent="0.25">
      <c r="A37" s="32" t="s">
        <v>189</v>
      </c>
      <c r="B37" s="48">
        <f>SUM(B35:B36)</f>
        <v>12607.9</v>
      </c>
      <c r="C37" s="48">
        <f>SUM(C35:C36)</f>
        <v>15453.23</v>
      </c>
      <c r="D37" s="48">
        <f>SUM(D35:D36)</f>
        <v>16960.210620000002</v>
      </c>
      <c r="E37" s="48">
        <f t="shared" ref="E37:H37" si="13">SUM(E35:E36)</f>
        <v>18705.443139999999</v>
      </c>
      <c r="F37" s="48">
        <f t="shared" si="13"/>
        <v>20450.675660000001</v>
      </c>
      <c r="G37" s="48">
        <f t="shared" si="13"/>
        <v>22195.908179999999</v>
      </c>
      <c r="H37" s="48">
        <f t="shared" si="13"/>
        <v>23941.140700000004</v>
      </c>
    </row>
    <row r="38" spans="1:8" x14ac:dyDescent="0.25">
      <c r="A38" s="32" t="s">
        <v>30</v>
      </c>
      <c r="B38" s="48">
        <f>B37-B34</f>
        <v>8050.5921999999991</v>
      </c>
      <c r="C38" s="48">
        <f>C37-C34</f>
        <v>10895.922199999999</v>
      </c>
      <c r="D38" s="48">
        <f>D37-D34</f>
        <v>11817.252600000002</v>
      </c>
      <c r="E38" s="48">
        <f t="shared" ref="E38:H38" si="14">E37-E34</f>
        <v>13077.8773</v>
      </c>
      <c r="F38" s="48">
        <f t="shared" si="14"/>
        <v>14338.502</v>
      </c>
      <c r="G38" s="48">
        <f t="shared" si="14"/>
        <v>15599.126699999997</v>
      </c>
      <c r="H38" s="48">
        <f t="shared" si="14"/>
        <v>16859.751400000005</v>
      </c>
    </row>
    <row r="39" spans="1:8" x14ac:dyDescent="0.25">
      <c r="A39" s="71" t="s">
        <v>190</v>
      </c>
      <c r="B39" s="78"/>
      <c r="C39" s="78">
        <f t="shared" ref="C39" si="15">C38-B38</f>
        <v>2845.33</v>
      </c>
      <c r="D39" s="78">
        <f>D38-C38</f>
        <v>921.33040000000256</v>
      </c>
      <c r="E39" s="78">
        <f t="shared" ref="E39:H39" si="16">E38-D38</f>
        <v>1260.6246999999985</v>
      </c>
      <c r="F39" s="78">
        <f t="shared" si="16"/>
        <v>1260.6247000000003</v>
      </c>
      <c r="G39" s="78">
        <f t="shared" si="16"/>
        <v>1260.6246999999967</v>
      </c>
      <c r="H39" s="78">
        <f t="shared" si="16"/>
        <v>1260.6247000000076</v>
      </c>
    </row>
    <row r="41" spans="1:8" ht="18.75" x14ac:dyDescent="0.3">
      <c r="A41" s="74" t="s">
        <v>191</v>
      </c>
      <c r="B41" s="76">
        <v>45352</v>
      </c>
      <c r="C41" s="76">
        <v>45717</v>
      </c>
      <c r="D41" s="73">
        <v>46082</v>
      </c>
      <c r="E41" s="73">
        <v>46447</v>
      </c>
      <c r="F41" s="73">
        <v>46813</v>
      </c>
      <c r="G41" s="73">
        <v>47178</v>
      </c>
      <c r="H41" s="73">
        <v>11018</v>
      </c>
    </row>
    <row r="43" spans="1:8" x14ac:dyDescent="0.25">
      <c r="A43" s="29" t="s">
        <v>192</v>
      </c>
      <c r="B43" s="36">
        <f>'Historical Data'!E38</f>
        <v>62877.61</v>
      </c>
      <c r="C43" s="36">
        <f>B43+B43*PBS!B23</f>
        <v>64763.938300000002</v>
      </c>
      <c r="D43" s="36">
        <f>C43+C43*PBS!C23</f>
        <v>66706.856448999999</v>
      </c>
      <c r="E43" s="36">
        <f>D43+D43*PBS!D23</f>
        <v>68708.062142469993</v>
      </c>
      <c r="F43" s="36">
        <f>E43+E43*PBS!E23</f>
        <v>70769.304006744089</v>
      </c>
      <c r="G43" s="36">
        <f>F43+F43*PBS!F23</f>
        <v>72892.383126946414</v>
      </c>
      <c r="H43" s="36">
        <f>G43+G43*PBS!F23</f>
        <v>75079.154620754809</v>
      </c>
    </row>
    <row r="44" spans="1:8" x14ac:dyDescent="0.25">
      <c r="A44" s="29" t="s">
        <v>193</v>
      </c>
      <c r="B44" s="36">
        <f>'Historical Data'!E17</f>
        <v>3145.3</v>
      </c>
      <c r="C44" s="36">
        <f>'Historical Data'!F17</f>
        <v>4014.95</v>
      </c>
      <c r="D44" s="36">
        <f>PIS!B8</f>
        <v>3238.1969150000004</v>
      </c>
      <c r="E44" s="36">
        <f>PIS!C8</f>
        <v>3335.3428224500003</v>
      </c>
      <c r="F44" s="36">
        <f>PIS!D8</f>
        <v>3435.4031071234999</v>
      </c>
      <c r="G44" s="36">
        <f>PIS!E8</f>
        <v>3538.4652003372048</v>
      </c>
      <c r="H44" s="36">
        <f>PIS!F8</f>
        <v>3644.6191563473208</v>
      </c>
    </row>
    <row r="45" spans="1:8" x14ac:dyDescent="0.25">
      <c r="B45" s="75">
        <f>B43-B44</f>
        <v>59732.31</v>
      </c>
      <c r="C45" s="75">
        <f>C43-C44</f>
        <v>60748.988300000005</v>
      </c>
      <c r="D45" s="75">
        <f t="shared" ref="D45:H45" si="17">D43-D44</f>
        <v>63468.659533999999</v>
      </c>
      <c r="E45" s="75">
        <f t="shared" si="17"/>
        <v>65372.719320019991</v>
      </c>
      <c r="F45" s="75">
        <f t="shared" si="17"/>
        <v>67333.900899620596</v>
      </c>
      <c r="G45" s="75">
        <f t="shared" si="17"/>
        <v>69353.917926609211</v>
      </c>
      <c r="H45" s="75">
        <f t="shared" si="17"/>
        <v>71434.535464407483</v>
      </c>
    </row>
    <row r="46" spans="1:8" x14ac:dyDescent="0.25">
      <c r="A46" s="71" t="s">
        <v>194</v>
      </c>
      <c r="B46" s="71"/>
      <c r="C46" s="79">
        <f>C45-B45</f>
        <v>1016.6783000000069</v>
      </c>
      <c r="D46" s="79">
        <f>D45-C45</f>
        <v>2719.671233999994</v>
      </c>
      <c r="E46" s="79">
        <f t="shared" ref="E46:H46" si="18">E45-D45</f>
        <v>1904.0597860199923</v>
      </c>
      <c r="F46" s="79">
        <f t="shared" si="18"/>
        <v>1961.1815796006049</v>
      </c>
      <c r="G46" s="79">
        <f t="shared" si="18"/>
        <v>2020.0170269886148</v>
      </c>
      <c r="H46" s="79">
        <f t="shared" si="18"/>
        <v>2080.6175377982727</v>
      </c>
    </row>
    <row r="48" spans="1:8" ht="18.75" x14ac:dyDescent="0.3">
      <c r="A48" s="74" t="s">
        <v>195</v>
      </c>
      <c r="B48" s="76">
        <v>45352</v>
      </c>
      <c r="C48" s="76">
        <v>45717</v>
      </c>
      <c r="D48" s="73">
        <v>46082</v>
      </c>
      <c r="E48" s="73">
        <v>46447</v>
      </c>
      <c r="F48" s="73">
        <v>46813</v>
      </c>
      <c r="G48" s="73">
        <v>47178</v>
      </c>
      <c r="H48" s="73">
        <v>11018</v>
      </c>
    </row>
    <row r="50" spans="1:8" x14ac:dyDescent="0.25">
      <c r="A50" t="s">
        <v>71</v>
      </c>
      <c r="B50" s="36">
        <f>'Historical Data'!E34</f>
        <v>11402.95</v>
      </c>
      <c r="C50" s="36">
        <f>B50+B50*C52</f>
        <v>11745.038500000001</v>
      </c>
      <c r="D50" s="36">
        <f t="shared" ref="D50:H50" si="19">C50+C50*D52</f>
        <v>12097.389655000001</v>
      </c>
      <c r="E50" s="36">
        <f t="shared" si="19"/>
        <v>12460.311344650001</v>
      </c>
      <c r="F50" s="36">
        <f t="shared" si="19"/>
        <v>12834.120684989501</v>
      </c>
      <c r="G50" s="36">
        <f t="shared" si="19"/>
        <v>13219.144305539186</v>
      </c>
      <c r="H50" s="36">
        <f t="shared" si="19"/>
        <v>13615.718634705361</v>
      </c>
    </row>
    <row r="51" spans="1:8" x14ac:dyDescent="0.25">
      <c r="A51" t="s">
        <v>196</v>
      </c>
      <c r="C51" s="75">
        <f>C50-B50</f>
        <v>342.08849999999984</v>
      </c>
      <c r="D51" s="75">
        <f t="shared" ref="D51:H51" si="20">D50-C50</f>
        <v>352.35115500000029</v>
      </c>
      <c r="E51" s="75">
        <f t="shared" si="20"/>
        <v>362.92168965000019</v>
      </c>
      <c r="F51" s="75">
        <f t="shared" si="20"/>
        <v>373.80934033949961</v>
      </c>
      <c r="G51" s="75">
        <f t="shared" si="20"/>
        <v>385.0236205496858</v>
      </c>
      <c r="H51" s="75">
        <f t="shared" si="20"/>
        <v>396.57432916617472</v>
      </c>
    </row>
    <row r="52" spans="1:8" x14ac:dyDescent="0.25">
      <c r="B52" s="39">
        <v>0.03</v>
      </c>
      <c r="C52" s="39">
        <v>0.03</v>
      </c>
      <c r="D52" s="39">
        <v>0.03</v>
      </c>
      <c r="E52" s="39">
        <v>0.03</v>
      </c>
      <c r="F52" s="39">
        <v>0.03</v>
      </c>
      <c r="G52" s="39">
        <v>0.03</v>
      </c>
      <c r="H52" s="39">
        <v>0.03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A2C37-7742-4882-BAF2-E67504A70969}">
  <dimension ref="A1:K54"/>
  <sheetViews>
    <sheetView tabSelected="1" topLeftCell="B7" zoomScale="93" zoomScaleNormal="93" workbookViewId="0">
      <selection activeCell="J10" sqref="J10"/>
    </sheetView>
  </sheetViews>
  <sheetFormatPr defaultRowHeight="15" x14ac:dyDescent="0.25"/>
  <cols>
    <col min="1" max="1" width="49.7109375" bestFit="1" customWidth="1"/>
    <col min="2" max="11" width="20.7109375" customWidth="1"/>
  </cols>
  <sheetData>
    <row r="1" spans="1:11" x14ac:dyDescent="0.25">
      <c r="H1" t="s">
        <v>235</v>
      </c>
    </row>
    <row r="2" spans="1:11" ht="18.75" x14ac:dyDescent="0.3">
      <c r="A2" s="44" t="s">
        <v>198</v>
      </c>
      <c r="B2" s="80">
        <v>45352</v>
      </c>
      <c r="C2" s="80">
        <v>45717</v>
      </c>
      <c r="D2" s="35">
        <v>46082</v>
      </c>
      <c r="E2" s="35">
        <v>46447</v>
      </c>
      <c r="F2" s="35">
        <v>46813</v>
      </c>
      <c r="G2" s="35">
        <v>47178</v>
      </c>
      <c r="H2" s="35">
        <v>11018</v>
      </c>
      <c r="J2" s="32" t="s">
        <v>204</v>
      </c>
      <c r="K2" s="32" t="s">
        <v>205</v>
      </c>
    </row>
    <row r="4" spans="1:11" x14ac:dyDescent="0.25">
      <c r="A4" t="s">
        <v>101</v>
      </c>
      <c r="B4" s="36">
        <f>'Historical Data'!E19</f>
        <v>9833.2599999999984</v>
      </c>
      <c r="C4" s="36">
        <f>'Historical Data'!F19</f>
        <v>8781.9300000000039</v>
      </c>
      <c r="D4" s="36">
        <f>PIS!B10</f>
        <v>10368.093324999994</v>
      </c>
      <c r="E4" s="36">
        <f>PIS!C10</f>
        <v>10852.485257549995</v>
      </c>
      <c r="F4" s="36">
        <f>PIS!D10</f>
        <v>11333.962812876489</v>
      </c>
      <c r="G4" s="36">
        <f>PIS!E10</f>
        <v>11812.438559662804</v>
      </c>
      <c r="H4" s="36">
        <f>PIS!F10</f>
        <v>12287.822443652663</v>
      </c>
    </row>
    <row r="5" spans="1:11" x14ac:dyDescent="0.25">
      <c r="A5" t="s">
        <v>178</v>
      </c>
      <c r="B5" s="36">
        <f>-('Value of Firm'!B4*Forecasting!B6)</f>
        <v>-2458.3149999999996</v>
      </c>
      <c r="C5" s="36">
        <f>-('Value of Firm'!C4*Forecasting!C6)</f>
        <v>-2195.482500000001</v>
      </c>
      <c r="D5" s="36">
        <f>-(D4*Forecasting!B6)</f>
        <v>-2592.0233312499986</v>
      </c>
      <c r="E5" s="36">
        <f>-(E4*Forecasting!C6)</f>
        <v>-2713.1213143874988</v>
      </c>
      <c r="F5" s="36">
        <f>-(F4*Forecasting!D6)</f>
        <v>-2833.4907032191222</v>
      </c>
      <c r="G5" s="36">
        <f>-(G4*Forecasting!E6)</f>
        <v>-2953.1096399157009</v>
      </c>
      <c r="H5" s="36">
        <f>-(H4*Forecasting!F6)</f>
        <v>-3071.9556109131659</v>
      </c>
    </row>
    <row r="6" spans="1:11" x14ac:dyDescent="0.25">
      <c r="A6" s="32" t="s">
        <v>199</v>
      </c>
      <c r="B6" s="48">
        <f>SUM(B4:B5)</f>
        <v>7374.9449999999988</v>
      </c>
      <c r="C6" s="48">
        <f>SUM(C4:C5)</f>
        <v>6586.4475000000029</v>
      </c>
      <c r="D6" s="48">
        <f t="shared" ref="D6:H6" si="0">SUM(D4:D5)</f>
        <v>7776.0699937499958</v>
      </c>
      <c r="E6" s="48">
        <f t="shared" si="0"/>
        <v>8139.3639431624961</v>
      </c>
      <c r="F6" s="48">
        <f t="shared" si="0"/>
        <v>8500.4721096573667</v>
      </c>
      <c r="G6" s="48">
        <f t="shared" si="0"/>
        <v>8859.3289197471022</v>
      </c>
      <c r="H6" s="48">
        <f t="shared" si="0"/>
        <v>9215.8668327394971</v>
      </c>
    </row>
    <row r="7" spans="1:11" x14ac:dyDescent="0.25">
      <c r="A7" t="s">
        <v>173</v>
      </c>
      <c r="B7" s="36">
        <f>'Historical Data'!E17</f>
        <v>3145.3</v>
      </c>
      <c r="C7" s="36">
        <f>'Historical Data'!F17</f>
        <v>4014.95</v>
      </c>
      <c r="D7" s="36">
        <f>PIS!B8</f>
        <v>3238.1969150000004</v>
      </c>
      <c r="E7" s="36">
        <f>PIS!C8</f>
        <v>3335.3428224500003</v>
      </c>
      <c r="F7" s="36">
        <f>PIS!D8</f>
        <v>3435.4031071234999</v>
      </c>
      <c r="G7" s="36">
        <f>PIS!E8</f>
        <v>3538.4652003372048</v>
      </c>
      <c r="H7" s="36">
        <f>PIS!F8</f>
        <v>3644.6191563473208</v>
      </c>
    </row>
    <row r="8" spans="1:11" x14ac:dyDescent="0.25">
      <c r="A8" t="s">
        <v>200</v>
      </c>
      <c r="B8" s="36">
        <f>-PCFS!B39</f>
        <v>0</v>
      </c>
      <c r="C8" s="36">
        <f>-PCFS!C39</f>
        <v>-2845.33</v>
      </c>
      <c r="D8" s="36">
        <f>-PCFS!D39</f>
        <v>-921.33040000000256</v>
      </c>
      <c r="E8" s="36">
        <f>-PCFS!E39</f>
        <v>-1260.6246999999985</v>
      </c>
      <c r="F8" s="36">
        <f>-PCFS!F39</f>
        <v>-1260.6247000000003</v>
      </c>
      <c r="G8" s="36">
        <f>-PCFS!G39</f>
        <v>-1260.6246999999967</v>
      </c>
      <c r="H8" s="36">
        <f>-PCFS!H39</f>
        <v>-1260.6247000000076</v>
      </c>
    </row>
    <row r="9" spans="1:11" x14ac:dyDescent="0.25">
      <c r="A9" t="s">
        <v>203</v>
      </c>
      <c r="B9" s="103">
        <f>-PCFS!B46</f>
        <v>0</v>
      </c>
      <c r="C9" s="103">
        <f>-PCFS!C46</f>
        <v>-1016.6783000000069</v>
      </c>
      <c r="D9" s="103">
        <f>-PCFS!D46</f>
        <v>-2719.671233999994</v>
      </c>
      <c r="E9" s="103">
        <f>-PCFS!E46</f>
        <v>-1904.0597860199923</v>
      </c>
      <c r="F9" s="103">
        <f>-PCFS!F46</f>
        <v>-1961.1815796006049</v>
      </c>
      <c r="G9" s="103">
        <f>-PCFS!G46</f>
        <v>-2020.0170269886148</v>
      </c>
      <c r="H9" s="103">
        <f>-PCFS!H46</f>
        <v>-2080.6175377982727</v>
      </c>
    </row>
    <row r="10" spans="1:11" x14ac:dyDescent="0.25">
      <c r="A10" s="83" t="s">
        <v>201</v>
      </c>
      <c r="B10" s="84">
        <f>SUM(B6:B9)</f>
        <v>10520.244999999999</v>
      </c>
      <c r="C10" s="84">
        <f>SUM(C6:C9)</f>
        <v>6739.389199999996</v>
      </c>
      <c r="D10" s="84">
        <f t="shared" ref="D10:H10" si="1">SUM(D6:D9)</f>
        <v>7373.2652747499997</v>
      </c>
      <c r="E10" s="84">
        <f t="shared" si="1"/>
        <v>8310.0222795925056</v>
      </c>
      <c r="F10" s="84">
        <f t="shared" si="1"/>
        <v>8714.0689371802619</v>
      </c>
      <c r="G10" s="84">
        <f t="shared" si="1"/>
        <v>9117.1523930956955</v>
      </c>
      <c r="H10" s="84">
        <f t="shared" si="1"/>
        <v>9519.2437512885372</v>
      </c>
      <c r="J10" s="84">
        <f>H10*(1+H30)/(E38-H30)</f>
        <v>238747.62715348095</v>
      </c>
      <c r="K10" s="84"/>
    </row>
    <row r="11" spans="1:11" ht="15.75" thickBot="1" x14ac:dyDescent="0.3">
      <c r="A11" s="85" t="s">
        <v>202</v>
      </c>
      <c r="B11" s="85"/>
      <c r="C11" s="85"/>
      <c r="D11" s="99">
        <f>D10*(1/(1+$E$38)^D54)</f>
        <v>6918.4089228294024</v>
      </c>
      <c r="E11" s="99">
        <f t="shared" ref="E11:H11" si="2">E10*(1/(1+$E$38)^E54)</f>
        <v>7316.3576275198584</v>
      </c>
      <c r="F11" s="99">
        <f t="shared" si="2"/>
        <v>7198.7998329612037</v>
      </c>
      <c r="G11" s="99">
        <f t="shared" si="2"/>
        <v>7067.1561874241897</v>
      </c>
      <c r="H11" s="99">
        <f t="shared" si="2"/>
        <v>6923.6370278196719</v>
      </c>
      <c r="J11" s="48">
        <f>H11*(1+H30)/(E38-H30)</f>
        <v>173648.44885290114</v>
      </c>
      <c r="K11" s="100">
        <f>SUM(D11:H11,J11)</f>
        <v>209072.80845145546</v>
      </c>
    </row>
    <row r="12" spans="1:11" ht="15.75" thickTop="1" x14ac:dyDescent="0.25"/>
    <row r="13" spans="1:11" ht="18.75" x14ac:dyDescent="0.3">
      <c r="A13" s="44" t="s">
        <v>206</v>
      </c>
      <c r="B13" s="80">
        <v>45352</v>
      </c>
      <c r="C13" s="80">
        <v>45717</v>
      </c>
      <c r="D13" s="35">
        <v>46082</v>
      </c>
      <c r="E13" s="35">
        <v>46447</v>
      </c>
      <c r="F13" s="35">
        <v>46813</v>
      </c>
      <c r="G13" s="35">
        <v>47178</v>
      </c>
      <c r="H13" s="35">
        <v>11018</v>
      </c>
    </row>
    <row r="15" spans="1:11" x14ac:dyDescent="0.25">
      <c r="A15" t="s">
        <v>201</v>
      </c>
      <c r="C15" s="36">
        <f>C10</f>
        <v>6739.389199999996</v>
      </c>
      <c r="D15" s="36">
        <f t="shared" ref="D15:H15" si="3">D10</f>
        <v>7373.2652747499997</v>
      </c>
      <c r="E15" s="36">
        <f t="shared" si="3"/>
        <v>8310.0222795925056</v>
      </c>
      <c r="F15" s="36">
        <f t="shared" si="3"/>
        <v>8714.0689371802619</v>
      </c>
      <c r="G15" s="36">
        <f t="shared" si="3"/>
        <v>9117.1523930956955</v>
      </c>
      <c r="H15" s="36">
        <f t="shared" si="3"/>
        <v>9519.2437512885372</v>
      </c>
    </row>
    <row r="16" spans="1:11" x14ac:dyDescent="0.25">
      <c r="A16" t="s">
        <v>207</v>
      </c>
      <c r="C16" s="36">
        <f>-('Historical Data'!F21-('Historical Data'!F21*'Historical Data'!F26))</f>
        <v>-1306.0332089536544</v>
      </c>
      <c r="D16" s="36">
        <f>-(PIS!B11-(PIS!B11*Forecasting!B6))</f>
        <v>-725.84337930000004</v>
      </c>
      <c r="E16" s="36">
        <f>-(PIS!C11-(PIS!C11*Forecasting!C6))</f>
        <v>-747.61868067900014</v>
      </c>
      <c r="F16" s="36">
        <f>-(PIS!D11-(PIS!D11*Forecasting!D6))</f>
        <v>-770.04724109937001</v>
      </c>
      <c r="G16" s="36">
        <f>-(PIS!E11-(PIS!E11*Forecasting!E6))</f>
        <v>-793.14865833235115</v>
      </c>
      <c r="H16" s="36">
        <f>-(PIS!F11-(PIS!F11*Forecasting!F6))</f>
        <v>-816.94311808232169</v>
      </c>
    </row>
    <row r="17" spans="1:11" x14ac:dyDescent="0.25">
      <c r="A17" t="s">
        <v>208</v>
      </c>
      <c r="C17" s="86">
        <f>-PCFS!C51</f>
        <v>-342.08849999999984</v>
      </c>
      <c r="D17" s="86">
        <f>-PCFS!D51</f>
        <v>-352.35115500000029</v>
      </c>
      <c r="E17" s="86">
        <f>-PCFS!E51</f>
        <v>-362.92168965000019</v>
      </c>
      <c r="F17" s="86">
        <f>-PCFS!F51</f>
        <v>-373.80934033949961</v>
      </c>
      <c r="G17" s="86">
        <f>-PCFS!G51</f>
        <v>-385.0236205496858</v>
      </c>
      <c r="H17" s="86">
        <f>-PCFS!H51</f>
        <v>-396.57432916617472</v>
      </c>
    </row>
    <row r="18" spans="1:11" x14ac:dyDescent="0.25">
      <c r="A18" s="83" t="s">
        <v>209</v>
      </c>
      <c r="B18" s="87"/>
      <c r="C18" s="84">
        <f>SUM(C15:C17)</f>
        <v>5091.267491046342</v>
      </c>
      <c r="D18" s="84">
        <f t="shared" ref="D18:H18" si="4">SUM(D15:D17)</f>
        <v>6295.070740449999</v>
      </c>
      <c r="E18" s="84">
        <f t="shared" si="4"/>
        <v>7199.4819092635053</v>
      </c>
      <c r="F18" s="84">
        <f t="shared" si="4"/>
        <v>7570.2123557413925</v>
      </c>
      <c r="G18" s="84">
        <f t="shared" si="4"/>
        <v>7938.9801142136585</v>
      </c>
      <c r="H18" s="84">
        <f t="shared" si="4"/>
        <v>8305.7263040400412</v>
      </c>
      <c r="J18" s="84">
        <f>H18*(1+H30)/(B46-H30)</f>
        <v>203383.6382454625</v>
      </c>
      <c r="K18" s="84"/>
    </row>
    <row r="19" spans="1:11" ht="15.75" thickBot="1" x14ac:dyDescent="0.3">
      <c r="A19" s="85" t="s">
        <v>210</v>
      </c>
      <c r="B19" s="88"/>
      <c r="C19" s="88"/>
      <c r="D19" s="99">
        <f>D18*(1/(1+$B$46)^D54)</f>
        <v>5901.2452382313895</v>
      </c>
      <c r="E19" s="99">
        <f t="shared" ref="E19:H19" si="5">E18*(1/(1+$B$46)^E54)</f>
        <v>6326.847129955805</v>
      </c>
      <c r="F19" s="99">
        <f t="shared" si="5"/>
        <v>6236.4465825755397</v>
      </c>
      <c r="G19" s="99">
        <f t="shared" si="5"/>
        <v>6131.0789250921653</v>
      </c>
      <c r="H19" s="99">
        <f t="shared" si="5"/>
        <v>6013.0228848358838</v>
      </c>
      <c r="J19" s="48">
        <f>H19*(1+H30)/(B46-H30)</f>
        <v>147241.84573434421</v>
      </c>
      <c r="K19" s="100">
        <f>SUM(D19:H19,J19)</f>
        <v>177850.486495035</v>
      </c>
    </row>
    <row r="20" spans="1:11" ht="15.75" thickTop="1" x14ac:dyDescent="0.25"/>
    <row r="21" spans="1:11" ht="18.75" x14ac:dyDescent="0.3">
      <c r="A21" s="44" t="s">
        <v>211</v>
      </c>
      <c r="B21" s="80">
        <v>45352</v>
      </c>
      <c r="C21" s="80">
        <v>45717</v>
      </c>
      <c r="D21" s="35">
        <v>46082</v>
      </c>
      <c r="E21" s="35">
        <v>46447</v>
      </c>
      <c r="F21" s="35">
        <v>46813</v>
      </c>
      <c r="G21" s="35">
        <v>47178</v>
      </c>
      <c r="H21" s="35">
        <v>11018</v>
      </c>
    </row>
    <row r="23" spans="1:11" x14ac:dyDescent="0.25">
      <c r="A23" t="s">
        <v>70</v>
      </c>
      <c r="B23" s="36">
        <f>'Historical Data'!E52</f>
        <v>2020.83</v>
      </c>
      <c r="C23" s="36">
        <f>'Historical Data'!F52</f>
        <v>2283.77</v>
      </c>
      <c r="D23" s="36">
        <f>PIS!B18</f>
        <v>2467.5793150574982</v>
      </c>
      <c r="E23" s="36">
        <f>PIS!C18</f>
        <v>2587.1108418692238</v>
      </c>
      <c r="F23" s="36">
        <f>PIS!D18</f>
        <v>2705.6487039952985</v>
      </c>
      <c r="G23" s="36">
        <f>PIS!E18</f>
        <v>2823.1630914951629</v>
      </c>
      <c r="H23" s="36">
        <f>PIS!F18</f>
        <v>2939.6233001300116</v>
      </c>
    </row>
    <row r="24" spans="1:11" x14ac:dyDescent="0.25">
      <c r="A24" t="s">
        <v>212</v>
      </c>
      <c r="B24" s="36">
        <f>'Historical Data'!E27</f>
        <v>6446.9999999999982</v>
      </c>
      <c r="C24" s="36">
        <f>'Historical Data'!F27</f>
        <v>5642.9000000000042</v>
      </c>
      <c r="D24" s="36">
        <f>PIS!B16</f>
        <v>7050.2266144499954</v>
      </c>
      <c r="E24" s="36">
        <f>PIS!C16</f>
        <v>7391.7452624834968</v>
      </c>
      <c r="F24" s="36">
        <f>PIS!D16</f>
        <v>7730.424868557996</v>
      </c>
      <c r="G24" s="36">
        <f>PIS!E16</f>
        <v>8066.1802614147518</v>
      </c>
      <c r="H24" s="36">
        <f>PIS!F16</f>
        <v>8398.9237146571759</v>
      </c>
    </row>
    <row r="25" spans="1:11" x14ac:dyDescent="0.25">
      <c r="A25" t="s">
        <v>213</v>
      </c>
      <c r="B25" s="39">
        <f>B23/B24</f>
        <v>0.31345276872964178</v>
      </c>
      <c r="C25" s="39">
        <f t="shared" ref="C25:H25" si="6">C23/C24</f>
        <v>0.40471566038738915</v>
      </c>
      <c r="D25" s="39">
        <f t="shared" si="6"/>
        <v>0.35</v>
      </c>
      <c r="E25" s="39">
        <f t="shared" si="6"/>
        <v>0.35</v>
      </c>
      <c r="F25" s="39">
        <f t="shared" si="6"/>
        <v>0.35</v>
      </c>
      <c r="G25" s="39">
        <f t="shared" si="6"/>
        <v>0.35</v>
      </c>
      <c r="H25" s="39">
        <f t="shared" si="6"/>
        <v>0.35</v>
      </c>
    </row>
    <row r="26" spans="1:11" x14ac:dyDescent="0.25">
      <c r="A26" t="s">
        <v>214</v>
      </c>
      <c r="B26" s="58">
        <f>1-B25</f>
        <v>0.68654723127035822</v>
      </c>
      <c r="C26" s="58">
        <f t="shared" ref="C26:H26" si="7">1-C25</f>
        <v>0.59528433961261085</v>
      </c>
      <c r="D26" s="58">
        <f t="shared" si="7"/>
        <v>0.65</v>
      </c>
      <c r="E26" s="58">
        <f t="shared" si="7"/>
        <v>0.65</v>
      </c>
      <c r="F26" s="58">
        <f t="shared" si="7"/>
        <v>0.65</v>
      </c>
      <c r="G26" s="58">
        <f t="shared" si="7"/>
        <v>0.65</v>
      </c>
      <c r="H26" s="58">
        <f t="shared" si="7"/>
        <v>0.65</v>
      </c>
    </row>
    <row r="27" spans="1:11" x14ac:dyDescent="0.25">
      <c r="A27" t="s">
        <v>152</v>
      </c>
      <c r="B27" s="36">
        <f>'Historical Data'!E32</f>
        <v>288.69</v>
      </c>
      <c r="C27" s="36">
        <f>'Historical Data'!F32</f>
        <v>294.68</v>
      </c>
      <c r="D27" s="36">
        <f>PBS!B6</f>
        <v>294.68</v>
      </c>
      <c r="E27" s="36">
        <f>PBS!C6</f>
        <v>294.68</v>
      </c>
      <c r="F27" s="36">
        <f>PBS!D6</f>
        <v>294.68</v>
      </c>
      <c r="G27" s="36">
        <f>PBS!E6</f>
        <v>294.68</v>
      </c>
      <c r="H27" s="36">
        <f>PBS!F6</f>
        <v>294.68</v>
      </c>
    </row>
    <row r="28" spans="1:11" x14ac:dyDescent="0.25">
      <c r="A28" t="s">
        <v>215</v>
      </c>
      <c r="B28" s="39">
        <f>B27/B24</f>
        <v>4.4778966961377398E-2</v>
      </c>
      <c r="C28" s="39">
        <f t="shared" ref="C28:H28" si="8">C27/C24</f>
        <v>5.2221375533856668E-2</v>
      </c>
      <c r="D28" s="39">
        <f t="shared" si="8"/>
        <v>4.1797238034310853E-2</v>
      </c>
      <c r="E28" s="39">
        <f t="shared" si="8"/>
        <v>3.9866092449862466E-2</v>
      </c>
      <c r="F28" s="39">
        <f t="shared" si="8"/>
        <v>3.8119508954618235E-2</v>
      </c>
      <c r="G28" s="39">
        <f t="shared" si="8"/>
        <v>3.6532781372321473E-2</v>
      </c>
      <c r="H28" s="39">
        <f t="shared" si="8"/>
        <v>3.5085447851579653E-2</v>
      </c>
    </row>
    <row r="29" spans="1:11" x14ac:dyDescent="0.25">
      <c r="A29" s="83" t="s">
        <v>216</v>
      </c>
      <c r="B29" s="89">
        <f>B26*B28</f>
        <v>3.0742875786480498E-2</v>
      </c>
      <c r="C29" s="89">
        <f t="shared" ref="C29:H29" si="9">C26*C28</f>
        <v>3.108656704833402E-2</v>
      </c>
      <c r="D29" s="89">
        <f t="shared" si="9"/>
        <v>2.7168204722302056E-2</v>
      </c>
      <c r="E29" s="89">
        <f t="shared" si="9"/>
        <v>2.5912960092410602E-2</v>
      </c>
      <c r="F29" s="89">
        <f t="shared" si="9"/>
        <v>2.4777680820501854E-2</v>
      </c>
      <c r="G29" s="89">
        <f t="shared" si="9"/>
        <v>2.3746307892008958E-2</v>
      </c>
      <c r="H29" s="89">
        <f t="shared" si="9"/>
        <v>2.2805541103526776E-2</v>
      </c>
    </row>
    <row r="30" spans="1:11" ht="15.75" thickBot="1" x14ac:dyDescent="0.3">
      <c r="A30" s="85"/>
      <c r="B30" s="85"/>
      <c r="C30" s="85"/>
      <c r="D30" s="85"/>
      <c r="E30" s="85"/>
      <c r="F30" s="85"/>
      <c r="G30" s="85"/>
      <c r="H30" s="90">
        <f>AVERAGE(D29:H29)</f>
        <v>2.4882138926150051E-2</v>
      </c>
    </row>
    <row r="31" spans="1:11" ht="15.75" thickTop="1" x14ac:dyDescent="0.25"/>
    <row r="32" spans="1:11" x14ac:dyDescent="0.25">
      <c r="A32" s="106" t="s">
        <v>217</v>
      </c>
      <c r="B32" s="106"/>
      <c r="C32" s="106"/>
      <c r="D32" s="106"/>
      <c r="E32" s="106"/>
      <c r="F32" s="106"/>
      <c r="G32" s="106"/>
      <c r="H32" s="106"/>
    </row>
    <row r="34" spans="1:8" x14ac:dyDescent="0.25">
      <c r="A34" s="32" t="s">
        <v>218</v>
      </c>
      <c r="B34" s="32" t="s">
        <v>219</v>
      </c>
      <c r="C34" s="32" t="s">
        <v>220</v>
      </c>
      <c r="D34" s="32" t="s">
        <v>221</v>
      </c>
      <c r="E34" s="32" t="s">
        <v>222</v>
      </c>
    </row>
    <row r="35" spans="1:8" x14ac:dyDescent="0.25">
      <c r="A35" t="s">
        <v>223</v>
      </c>
      <c r="B35" s="91">
        <v>350000</v>
      </c>
      <c r="C35" s="39">
        <f>B35/B37</f>
        <v>0.93557872226677363</v>
      </c>
      <c r="D35" s="96">
        <f>B46</f>
        <v>6.6736000000000004E-2</v>
      </c>
      <c r="E35" s="39">
        <f>C35*D35</f>
        <v>6.2436781609195406E-2</v>
      </c>
    </row>
    <row r="36" spans="1:8" x14ac:dyDescent="0.25">
      <c r="A36" t="s">
        <v>224</v>
      </c>
      <c r="B36" s="91">
        <v>24100</v>
      </c>
      <c r="C36" s="39">
        <f>B36/B37</f>
        <v>6.4421277733226409E-2</v>
      </c>
      <c r="D36" s="58">
        <f>B52</f>
        <v>5.136535269709544E-2</v>
      </c>
      <c r="E36" s="39">
        <f>C36*D36</f>
        <v>3.3090216519647154E-3</v>
      </c>
    </row>
    <row r="37" spans="1:8" x14ac:dyDescent="0.25">
      <c r="A37" s="32" t="s">
        <v>26</v>
      </c>
      <c r="B37" s="92">
        <f>SUM(B35:B36)</f>
        <v>374100</v>
      </c>
      <c r="E37" s="58">
        <f>SUM(E35:E36)</f>
        <v>6.5745803261160127E-2</v>
      </c>
    </row>
    <row r="38" spans="1:8" x14ac:dyDescent="0.25">
      <c r="A38" s="71" t="s">
        <v>234</v>
      </c>
      <c r="B38" s="101"/>
      <c r="C38" s="101"/>
      <c r="D38" s="101"/>
      <c r="E38" s="102">
        <f>E37</f>
        <v>6.5745803261160127E-2</v>
      </c>
      <c r="F38" s="101"/>
      <c r="G38" s="101"/>
      <c r="H38" s="101"/>
    </row>
    <row r="40" spans="1:8" x14ac:dyDescent="0.25">
      <c r="A40" s="106" t="s">
        <v>225</v>
      </c>
      <c r="B40" s="106"/>
      <c r="C40" s="106"/>
      <c r="D40" s="106"/>
      <c r="E40" s="106"/>
      <c r="F40" s="106"/>
      <c r="G40" s="106"/>
      <c r="H40" s="106"/>
    </row>
    <row r="42" spans="1:8" x14ac:dyDescent="0.25">
      <c r="A42" t="s">
        <v>226</v>
      </c>
      <c r="B42" s="93">
        <v>6.6000000000000003E-2</v>
      </c>
    </row>
    <row r="43" spans="1:8" x14ac:dyDescent="0.25">
      <c r="A43" t="s">
        <v>227</v>
      </c>
      <c r="B43" s="94">
        <v>1.15E-2</v>
      </c>
    </row>
    <row r="44" spans="1:8" x14ac:dyDescent="0.25">
      <c r="A44" t="s">
        <v>228</v>
      </c>
      <c r="B44" s="39">
        <v>0.13</v>
      </c>
    </row>
    <row r="45" spans="1:8" x14ac:dyDescent="0.25">
      <c r="A45" t="s">
        <v>229</v>
      </c>
      <c r="B45" s="95">
        <f>B44-B42</f>
        <v>6.4000000000000001E-2</v>
      </c>
    </row>
    <row r="46" spans="1:8" x14ac:dyDescent="0.25">
      <c r="A46" s="32" t="s">
        <v>230</v>
      </c>
      <c r="B46" s="97">
        <f>B42+B43*B45</f>
        <v>6.6736000000000004E-2</v>
      </c>
    </row>
    <row r="48" spans="1:8" x14ac:dyDescent="0.25">
      <c r="A48" s="106" t="s">
        <v>231</v>
      </c>
      <c r="B48" s="106"/>
      <c r="C48" s="106"/>
      <c r="D48" s="106"/>
      <c r="E48" s="106"/>
      <c r="F48" s="106"/>
      <c r="G48" s="106"/>
      <c r="H48" s="106"/>
    </row>
    <row r="50" spans="1:8" x14ac:dyDescent="0.25">
      <c r="A50" t="s">
        <v>11</v>
      </c>
      <c r="B50" s="36">
        <f>'Historical Data'!F21</f>
        <v>1650.54</v>
      </c>
    </row>
    <row r="51" spans="1:8" x14ac:dyDescent="0.25">
      <c r="A51" t="s">
        <v>232</v>
      </c>
      <c r="B51" s="39">
        <f>B50/B36</f>
        <v>6.8487136929460582E-2</v>
      </c>
    </row>
    <row r="52" spans="1:8" x14ac:dyDescent="0.25">
      <c r="A52" s="32" t="s">
        <v>233</v>
      </c>
      <c r="B52" s="98">
        <f>B51*(1-Forecasting!B6)</f>
        <v>5.136535269709544E-2</v>
      </c>
    </row>
    <row r="54" spans="1:8" x14ac:dyDescent="0.25">
      <c r="D54">
        <v>1</v>
      </c>
      <c r="E54">
        <v>2</v>
      </c>
      <c r="F54">
        <v>3</v>
      </c>
      <c r="G54">
        <v>4</v>
      </c>
      <c r="H54">
        <v>5</v>
      </c>
    </row>
  </sheetData>
  <mergeCells count="3">
    <mergeCell ref="A32:H32"/>
    <mergeCell ref="A40:H40"/>
    <mergeCell ref="A48:H4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85546875" defaultRowHeight="15" x14ac:dyDescent="0.25"/>
  <cols>
    <col min="1" max="1" width="8.85546875" style="8"/>
    <col min="2" max="2" width="10.42578125" style="11" customWidth="1"/>
    <col min="3" max="3" width="13.28515625" style="26" customWidth="1"/>
    <col min="4" max="5" width="8.85546875" style="11"/>
    <col min="6" max="6" width="6.85546875" style="11" customWidth="1"/>
    <col min="7" max="16384" width="8.85546875" style="11"/>
  </cols>
  <sheetData>
    <row r="1" spans="1:7" ht="21" x14ac:dyDescent="0.35">
      <c r="A1" s="25" t="s">
        <v>56</v>
      </c>
    </row>
    <row r="3" spans="1:7" x14ac:dyDescent="0.25">
      <c r="A3" s="8" t="s">
        <v>48</v>
      </c>
    </row>
    <row r="4" spans="1:7" x14ac:dyDescent="0.25">
      <c r="B4" s="11" t="s">
        <v>90</v>
      </c>
    </row>
    <row r="5" spans="1:7" x14ac:dyDescent="0.25">
      <c r="B5" s="11" t="s">
        <v>49</v>
      </c>
    </row>
    <row r="7" spans="1:7" x14ac:dyDescent="0.25">
      <c r="A7" s="8" t="s">
        <v>50</v>
      </c>
    </row>
    <row r="8" spans="1:7" x14ac:dyDescent="0.25">
      <c r="B8" s="11" t="s">
        <v>51</v>
      </c>
      <c r="C8" s="27" t="s">
        <v>91</v>
      </c>
    </row>
    <row r="10" spans="1:7" x14ac:dyDescent="0.25">
      <c r="A10" s="8" t="s">
        <v>52</v>
      </c>
    </row>
    <row r="11" spans="1:7" x14ac:dyDescent="0.25">
      <c r="B11" s="11" t="s">
        <v>53</v>
      </c>
    </row>
    <row r="14" spans="1:7" x14ac:dyDescent="0.25">
      <c r="A14" s="8" t="s">
        <v>54</v>
      </c>
    </row>
    <row r="15" spans="1:7" x14ac:dyDescent="0.25">
      <c r="B15" s="11" t="s">
        <v>55</v>
      </c>
    </row>
    <row r="16" spans="1:7" x14ac:dyDescent="0.25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Profit &amp; Loss</vt:lpstr>
      <vt:lpstr>Quarters</vt:lpstr>
      <vt:lpstr>Balance Sheet</vt:lpstr>
      <vt:lpstr>Cash Flow</vt:lpstr>
      <vt:lpstr>Data Sheet</vt:lpstr>
      <vt:lpstr>Sheet1</vt:lpstr>
      <vt:lpstr>Historical Data</vt:lpstr>
      <vt:lpstr>Forecasting</vt:lpstr>
      <vt:lpstr>PIS</vt:lpstr>
      <vt:lpstr>PBS</vt:lpstr>
      <vt:lpstr>PCFS</vt:lpstr>
      <vt:lpstr>Value of Firm</vt:lpstr>
      <vt:lpstr>Customization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Manoj Kumar</cp:lastModifiedBy>
  <cp:lastPrinted>2012-12-06T18:14:13Z</cp:lastPrinted>
  <dcterms:created xsi:type="dcterms:W3CDTF">2012-08-17T09:55:37Z</dcterms:created>
  <dcterms:modified xsi:type="dcterms:W3CDTF">2025-12-08T11:26:25Z</dcterms:modified>
</cp:coreProperties>
</file>